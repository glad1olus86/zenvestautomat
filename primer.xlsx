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имер" sheetId="1" r:id="rId5"/>
    <sheet state="hidden" name="Francouzská" sheetId="2" r:id="rId6"/>
    <sheet state="visible" name="O2" sheetId="3" r:id="rId7"/>
    <sheet state="hidden" name="Arsenii Zajcev" sheetId="4" r:id="rId8"/>
    <sheet state="hidden" name="Lysa nad Labem" sheetId="5" r:id="rId9"/>
    <sheet state="visible" name="Koubková" sheetId="6" r:id="rId10"/>
    <sheet state="visible" name="ZZ Kamenická" sheetId="7" r:id="rId11"/>
    <sheet state="visible" name="Объекты" sheetId="8" r:id="rId12"/>
    <sheet state="visible" name="Финансы_2026" sheetId="9" r:id="rId13"/>
    <sheet state="visible" name="Часы_2026" sheetId="10" r:id="rId14"/>
    <sheet state="visible" name="Сводка" sheetId="11" r:id="rId15"/>
    <sheet state="visible" name="Машины" sheetId="12" r:id="rId16"/>
  </sheets>
  <definedNames/>
  <calcPr/>
</workbook>
</file>

<file path=xl/sharedStrings.xml><?xml version="1.0" encoding="utf-8"?>
<sst xmlns="http://schemas.openxmlformats.org/spreadsheetml/2006/main" count="858" uniqueCount="497">
  <si>
    <t>Číslo nabídky / faktury</t>
  </si>
  <si>
    <t>Согласовано</t>
  </si>
  <si>
    <t>Částka celkem bez DPH</t>
  </si>
  <si>
    <t>Sazba DPH</t>
  </si>
  <si>
    <t>Castka celkem s DPH</t>
  </si>
  <si>
    <t>Zbývá uhradít</t>
  </si>
  <si>
    <t>Datum vystavení</t>
  </si>
  <si>
    <t>Datum splatnosti</t>
  </si>
  <si>
    <t>Datum zaplacení</t>
  </si>
  <si>
    <t>Zaplaceno</t>
  </si>
  <si>
    <t xml:space="preserve">VÝKAZ MATERIÁLU </t>
  </si>
  <si>
    <t>ANO</t>
  </si>
  <si>
    <t>Režim</t>
  </si>
  <si>
    <t>1-2025-0103</t>
  </si>
  <si>
    <t>Название акции</t>
  </si>
  <si>
    <t>Сумма на материал заложенная при расчете</t>
  </si>
  <si>
    <t>Фактическая закупка</t>
  </si>
  <si>
    <t>Разница</t>
  </si>
  <si>
    <t>Заложено работы</t>
  </si>
  <si>
    <t>Фактически работа</t>
  </si>
  <si>
    <t xml:space="preserve">ZRNO ZRNKO				</t>
  </si>
  <si>
    <t>Дата</t>
  </si>
  <si>
    <t>Поставщик</t>
  </si>
  <si>
    <t>Материал</t>
  </si>
  <si>
    <t>Количество</t>
  </si>
  <si>
    <t>Цена за шт</t>
  </si>
  <si>
    <t>Общая сумма</t>
  </si>
  <si>
    <t>Общие затраты:</t>
  </si>
  <si>
    <t>Фактические часы работы</t>
  </si>
  <si>
    <t>Francouzská</t>
  </si>
  <si>
    <t>неизвестно</t>
  </si>
  <si>
    <t>K.T.O. International spol. s r.o.</t>
  </si>
  <si>
    <t>Cu oblouk 90° ixi 22 lis voda</t>
  </si>
  <si>
    <t>Cu oblouk 90° axi 22 lis voda</t>
  </si>
  <si>
    <t>Br přechod př. ixM 54x2" vnější, voda lisovací</t>
  </si>
  <si>
    <t>Šroubení k čerpadlu 5/4"x2"</t>
  </si>
  <si>
    <t>Kohout kulový voda FxM 2" páka</t>
  </si>
  <si>
    <t xml:space="preserve">Filtr mosazný 1" </t>
  </si>
  <si>
    <t>dvounipl red.mosaz 2"x5/4"</t>
  </si>
  <si>
    <t>redukce mosaz 1"-3/4"</t>
  </si>
  <si>
    <t>dvounipl red. mosaz 3/4"-1/2"</t>
  </si>
  <si>
    <t xml:space="preserve"> redukce mosaz 1/2x1/4</t>
  </si>
  <si>
    <t>Zátka 1/2" mosaz (M - vněj. závit)</t>
  </si>
  <si>
    <t>TERMOMANOMETR D80 1/2" SPODNÍ 0-6 120</t>
  </si>
  <si>
    <t>Manometr D63, 0-6 bar, spodní, 1/4"</t>
  </si>
  <si>
    <t>PPR PŘECHODKA PLASTOVÁ S PŘEVLEČ</t>
  </si>
  <si>
    <t>Set plus rohový, termohlavice + vekolux 3/4"x</t>
  </si>
  <si>
    <t>Pojistný ventil 1/2" 6bar</t>
  </si>
  <si>
    <t>příchytka 6/4" (48-53 mm)</t>
  </si>
  <si>
    <t>příchytka 5/4" (40-46 mm)</t>
  </si>
  <si>
    <t>Kombi šroub M8x60</t>
  </si>
  <si>
    <t xml:space="preserve"> 10/50 FISCHER hmoždinka SX PLUS 10x50</t>
  </si>
  <si>
    <t xml:space="preserve">OKC 500 NTRR/BP, Dražice </t>
  </si>
  <si>
    <t>Vaillant 2x VU 35CS/1-5 ecoTEC plus + multiM</t>
  </si>
  <si>
    <t xml:space="preserve"> Vaillant VR 70 zákl. rozšiřovací modul </t>
  </si>
  <si>
    <t>Modul VR 940 f se službou aplikace pro vzdále</t>
  </si>
  <si>
    <t>Vaillant zásobníkové čidlo</t>
  </si>
  <si>
    <t>MAGNA1 32-60 180 1x230V PN6/10, Grundfos</t>
  </si>
  <si>
    <t>MAGNA1 25-40 180 1x230V PN6/10, Grundfos</t>
  </si>
  <si>
    <t xml:space="preserve">Expanzomat REFLEX N 80, šedá, PN16 </t>
  </si>
  <si>
    <t xml:space="preserve">Vyrovnávač tlaků HW 80/570 2" M, Regulus </t>
  </si>
  <si>
    <t>Držák na zeď pro vyrovnávač HW 80, Regulus</t>
  </si>
  <si>
    <t>Kohout kulový voda FxF 1/2" páka</t>
  </si>
  <si>
    <t>Kohout kulový voda FxF 3/4" páka</t>
  </si>
  <si>
    <t xml:space="preserve">Kohout kulový voda FxF 1" páka </t>
  </si>
  <si>
    <t>Kohout kulový voda FxF 6/4" páka</t>
  </si>
  <si>
    <t>Kohout kulový voda FxF 2" páka</t>
  </si>
  <si>
    <t>Kohout kulový s vypouštěním FxF 1" páka V</t>
  </si>
  <si>
    <t xml:space="preserve">Filtr mosazný 3/4" </t>
  </si>
  <si>
    <t xml:space="preserve">Filtr mosazný 6/4" </t>
  </si>
  <si>
    <t>Filtr mosazný 2"</t>
  </si>
  <si>
    <t>Zpětná klapka mosaz 3/4"</t>
  </si>
  <si>
    <t>Zpětná klapka mosaz 1"</t>
  </si>
  <si>
    <t>Zpětná klapka mosaz 6/4"</t>
  </si>
  <si>
    <t>Zpětná klapka mosaz 2"</t>
  </si>
  <si>
    <t>Pojistný ventil 3/4" 8bar</t>
  </si>
  <si>
    <t>Pojistný ventil 3/4" 6bar</t>
  </si>
  <si>
    <t>Automat.odvzdušňovací ventil 1/2"</t>
  </si>
  <si>
    <t>Ventil směš. třícestný LK 840 2.0, 5/4" F, Kvs 16,0</t>
  </si>
  <si>
    <t xml:space="preserve">Pohon 230 V pro LK840,LK841 - 120s </t>
  </si>
  <si>
    <t>ESBE UPTT 522 50-75°C G 1 1/4", DN 25, kvs 6</t>
  </si>
  <si>
    <t>Teploměr D63, délka 75 mm, 0-120°C</t>
  </si>
  <si>
    <t>Manometr D63, 0-6 bar, zadní, 1/4"</t>
  </si>
  <si>
    <t>Zahradní kulový kohout 1"</t>
  </si>
  <si>
    <t>REFLEX REFIX DE 100/10, modrá</t>
  </si>
  <si>
    <t>Flamcovent Clean Smart 2" magnetický odlučov</t>
  </si>
  <si>
    <t>Kohout kulový voda FxM 1/2" motýl</t>
  </si>
  <si>
    <t>dvounipl mosaz 1/2"</t>
  </si>
  <si>
    <t>koleno MF 3/4" mosaz</t>
  </si>
  <si>
    <t>Koleno MF 1" mosaz</t>
  </si>
  <si>
    <t xml:space="preserve">Cu oblouk 90° axi 35 lis voda </t>
  </si>
  <si>
    <t>Cu oblouk 45° axi 35 lis voda</t>
  </si>
  <si>
    <t xml:space="preserve">Cu T-kus ixixi 35 lis voda </t>
  </si>
  <si>
    <t>PPR PŘECHODKA KOV S PŘ. MATICÍ D 20x</t>
  </si>
  <si>
    <t>Cu T-kus ixixi 35x28x35 voda lisovací</t>
  </si>
  <si>
    <t>Br přechod př. ixF 28x1" vnitřní, voda lisovací</t>
  </si>
  <si>
    <t>Br přechod př. ixM 28x1" vnější, voda lisovací</t>
  </si>
  <si>
    <t xml:space="preserve">Koleno MF 2" mosaz </t>
  </si>
  <si>
    <t xml:space="preserve">T-kus 2" mosaz </t>
  </si>
  <si>
    <t>redukce mosaz 2" x 6/4"</t>
  </si>
  <si>
    <t>redukce mosaz 6/4" x 1/2"</t>
  </si>
  <si>
    <t xml:space="preserve">dvounipl mosaz 5/4" </t>
  </si>
  <si>
    <t>PPR PŘECHODKA S KOVOVÝM Z. VNITŘNÍM</t>
  </si>
  <si>
    <t xml:space="preserve">Cu oblouk 45° axi 54 lis voda </t>
  </si>
  <si>
    <t>PPR NÁTRUBEK D 20</t>
  </si>
  <si>
    <t>Kombi šroub M8x100</t>
  </si>
  <si>
    <t>Kombi šroub M8x80</t>
  </si>
  <si>
    <t>příchytka 1" (31-38 mm)</t>
  </si>
  <si>
    <t xml:space="preserve">příchytka (54-59 mm) </t>
  </si>
  <si>
    <t>HTRK redukce krátká DN 40 / DN 32</t>
  </si>
  <si>
    <t>HTRK redukce krátká DN 50 / DN 32</t>
  </si>
  <si>
    <t>ALCADRAIN dvojité kolínko DN40/32 / 17–23 s</t>
  </si>
  <si>
    <t>HTM zátka do hrdla DN 32</t>
  </si>
  <si>
    <t>HTM zátka do hrdla DN 50</t>
  </si>
  <si>
    <t>HTEM trubka DN 32 - 250 mm</t>
  </si>
  <si>
    <t>HTEM trubka DN 32 - 150 mm</t>
  </si>
  <si>
    <t>HTEA odbočka 50 / 50 / 45°</t>
  </si>
  <si>
    <t>HTEA odbočka 32 / 32 / 45°</t>
  </si>
  <si>
    <t>HTB koleno DN 32 / 45°</t>
  </si>
  <si>
    <t xml:space="preserve">Cu oblouk 90° axi 54 voda lisovací </t>
  </si>
  <si>
    <t>PPR ROZEBÍRATELNÝ SPOJ D 20</t>
  </si>
  <si>
    <t>куплено на франц?</t>
  </si>
  <si>
    <t>PPR KOHOUT KULOVÝ PLASTOVÝ D 20</t>
  </si>
  <si>
    <t>dvounipl red.mosaz 2"x6/4"</t>
  </si>
  <si>
    <t>ALPHA1 L 25-40 130 1x230V 50Hz, tř.A, Grundf</t>
  </si>
  <si>
    <t>Šroubení k čerpadlu 1"x 6/4" uzavírací</t>
  </si>
  <si>
    <t>topenářské šroubení přímé 1"</t>
  </si>
  <si>
    <t>topenářské šroubení rohové 1"</t>
  </si>
  <si>
    <t>topenářské šroubení přímé 3/4"</t>
  </si>
  <si>
    <t>topenářské šroubení rohové 3/4"</t>
  </si>
  <si>
    <t>T-kus red. 1"-1/2" mosaz</t>
  </si>
  <si>
    <t>T-kus red. 1" x 3/4" mosaz</t>
  </si>
  <si>
    <t>TERMOMANOMETR D80 1/2" SPODNÍ 0-4 120</t>
  </si>
  <si>
    <t>dvounipl red.mosaz 6/4"x5/4"</t>
  </si>
  <si>
    <t>Br přechod př. ixM 42x6/4" lis voda, vnější</t>
  </si>
  <si>
    <t xml:space="preserve"> Br přechod př. ixM 28x1" lis voda, vnější</t>
  </si>
  <si>
    <t>Br přechod př. ixF 28x1" lis voda, vnitřní</t>
  </si>
  <si>
    <t xml:space="preserve">Kohout kulový voda FxM 1" motýl </t>
  </si>
  <si>
    <t>PŮLŠROUBENÍ 1"M x 5/4"F</t>
  </si>
  <si>
    <t>Manometr D63 x 1/4" 0-4 bar, spodní</t>
  </si>
  <si>
    <t>PURMO Ventil Compact 22 600x1100</t>
  </si>
  <si>
    <t>PURMO Ventil Compact 22 600x1000</t>
  </si>
  <si>
    <t xml:space="preserve">PURMO Ventil Compact 22 600x 800 </t>
  </si>
  <si>
    <t>PURMO Ventil Compact 22 500x1000</t>
  </si>
  <si>
    <t>PURMO Ventil Compact 22 600x1200</t>
  </si>
  <si>
    <t>PURMO Ventil Compact 22 600x1400</t>
  </si>
  <si>
    <t>Cu oblouk 90° axi 28 lis voda</t>
  </si>
  <si>
    <t>PPR PŘECHODKA S KOVOVÝM Z. VNĚJŠÍM</t>
  </si>
  <si>
    <t>Kohout kulový voda FxM 6/4" páka</t>
  </si>
  <si>
    <t>25603380-25626875</t>
  </si>
  <si>
    <t>Kohout kulový voda FxM 1" páka</t>
  </si>
  <si>
    <t>Kohout kulový voda FxM 3/4" páka</t>
  </si>
  <si>
    <t>Br přechod př. ixF 35x1" vnitřní, voda lisovací</t>
  </si>
  <si>
    <t>Br přechod př. ixM 35x1" vnější, voda lisovací</t>
  </si>
  <si>
    <t xml:space="preserve">Cu oblouk 90° ixi 35 voda lisovací </t>
  </si>
  <si>
    <t>Cu oblouk 90° axi 35 voda lisovací</t>
  </si>
  <si>
    <t>Cu T-kus ixixi 35x22x35 voda lisovací</t>
  </si>
  <si>
    <t>Br přechod př. ixM 22x1" vnější, voda lisovací</t>
  </si>
  <si>
    <t>Br přechod př. ixM 22x3/4" vnější, voda lisovací</t>
  </si>
  <si>
    <t xml:space="preserve">Cu oblouk 90° ixi 54 voda lisovací </t>
  </si>
  <si>
    <t>Cu hrdlo red. axi 54x35 voda lisovací</t>
  </si>
  <si>
    <t>Cu hrdlo ixi 54 voda lisovací</t>
  </si>
  <si>
    <t>dvounipl red. mosaz 1"-3/4"</t>
  </si>
  <si>
    <t xml:space="preserve">dvounipl mosaz 1" </t>
  </si>
  <si>
    <t>Pasta těsnící na závity 2000, 250g, Locher</t>
  </si>
  <si>
    <t>KONOPÍ 200g</t>
  </si>
  <si>
    <t>kleště KNIPEX COBRA 400mm</t>
  </si>
  <si>
    <t>kleště KNIPEX COBRA 180mm</t>
  </si>
  <si>
    <t>Cu trubka 35x1,2 (5m) F29, EN 1057</t>
  </si>
  <si>
    <t>Cu trubka 54x1,5 (5m) F29, EN 1057</t>
  </si>
  <si>
    <t>dvounipl red.mosaz 5/4"-1"</t>
  </si>
  <si>
    <t>Cu trubka 22x1 (5m) F25, EN 1057</t>
  </si>
  <si>
    <t>25603380-25626879</t>
  </si>
  <si>
    <t>Br přechod př. ixM 22x1/2" lis voda, vnější</t>
  </si>
  <si>
    <t>Br přechod př. ixF 22x1/2" lis voda, vnitřní</t>
  </si>
  <si>
    <t>Kohout kulový voda FxF 1/2" motýl</t>
  </si>
  <si>
    <t>25603519-25627198</t>
  </si>
  <si>
    <t>Šroubení k čerpadlu 1"x6/4"</t>
  </si>
  <si>
    <t>T-kus red. 5/4"x1/2" mosaz</t>
  </si>
  <si>
    <t>dvounipl mosaz 5/4"</t>
  </si>
  <si>
    <t>topenářské šroubení přímé 6/4"</t>
  </si>
  <si>
    <t>TERMOMANOMETR D80 1/2" ZADNÍ 0-4 120°C</t>
  </si>
  <si>
    <t>10/60 Hmoždinka TMPE 10/60 mm bílá, hranatá</t>
  </si>
  <si>
    <t>T-kus 6/4" mosaz</t>
  </si>
  <si>
    <t>redukce mosaz 6/4" x 3/4"</t>
  </si>
  <si>
    <t>redukce mosaz 3/4"-1/2"</t>
  </si>
  <si>
    <t>Koleno MF 5/4" mosaz</t>
  </si>
  <si>
    <t>PPR REDUKCE VNITŘNÍ / VNĚJŚÍ D 63x50</t>
  </si>
  <si>
    <t>PPR KOLENO 90° D 63</t>
  </si>
  <si>
    <t>PPR NÁTRUBEK D 63</t>
  </si>
  <si>
    <t>Cu oblouk 45° axi 54 voda lisovací</t>
  </si>
  <si>
    <t>Br přechod př. ixM 42x6/4" vnější, voda lisovací</t>
  </si>
  <si>
    <t>Br přechod př. ixF 42x6/4" vnitřní, voda lisovací</t>
  </si>
  <si>
    <t>redukce mosaz 2"x5/4"</t>
  </si>
  <si>
    <t>redukce mosaz 5/4"-1"</t>
  </si>
  <si>
    <t>Cu oblouk 90° axi 42 voda lisovací</t>
  </si>
  <si>
    <t>Cu oblouk 45° axi 42 voda lisovací</t>
  </si>
  <si>
    <t xml:space="preserve">Cu oblouk 90° ixi 42 voda lisovací </t>
  </si>
  <si>
    <t xml:space="preserve">Cu T-kus ixixi 42 voda lisovací </t>
  </si>
  <si>
    <t>Cu hrdlo red. axi 42x28 voda lisovací</t>
  </si>
  <si>
    <t>Cu oblouk 45° axi 28 voda lisovací</t>
  </si>
  <si>
    <t>Cu oblouk 90° axi 28 voda lisovací</t>
  </si>
  <si>
    <t>Cu oblouk 90° ixi 28 voda lisovací</t>
  </si>
  <si>
    <t xml:space="preserve">Cu T-kus ixixi 28 voda lisovací </t>
  </si>
  <si>
    <t>Cu trubka 28x1 (5m) F29, EN 1057</t>
  </si>
  <si>
    <t>MONTÁŽNÍ PĚNA PUP 828 750ml PIST. NÍZK</t>
  </si>
  <si>
    <t>Cu trubka 42x1,2 (5m) F29, EN 1057</t>
  </si>
  <si>
    <t>HTB koleno DN 40 / 45°</t>
  </si>
  <si>
    <t>HTB koleno DN 40 / 87°</t>
  </si>
  <si>
    <t>HTM zátka do hrdla DN 40</t>
  </si>
  <si>
    <t>HTEA odbočka 40 / 40 / 45°</t>
  </si>
  <si>
    <t>HTRK redukce krátká DN 50 / DN 40</t>
  </si>
  <si>
    <t>25603617-25627389</t>
  </si>
  <si>
    <t>25603617-25627392</t>
  </si>
  <si>
    <t xml:space="preserve">dvounipl mosaz 2" </t>
  </si>
  <si>
    <t>topenářské šroubení přímé 5/4"</t>
  </si>
  <si>
    <t>redukce mosaz 6/4" x 5/4"</t>
  </si>
  <si>
    <t xml:space="preserve">Cu oblouk 45° axi 28 lis voda </t>
  </si>
  <si>
    <t>Br přechod př. ixM 28x1" lis voda, vnější</t>
  </si>
  <si>
    <t>HENKEL LOCTITE 55 160m těsnící vlákno</t>
  </si>
  <si>
    <t>HTEM trubka DN 32 - 1000 mm</t>
  </si>
  <si>
    <t>HTEM trubka DN 32 - 500 mm</t>
  </si>
  <si>
    <t>HTEM trubka DN 40 - 500 mm</t>
  </si>
  <si>
    <t>Kartuše 1450 Castolin 600ml + HOŘÁK (B</t>
  </si>
  <si>
    <t>Cu T-kus ixixi 22 lis voda</t>
  </si>
  <si>
    <t>25603796-25627738</t>
  </si>
  <si>
    <t>Kulový kohout se šroubením 1" Motýlek</t>
  </si>
  <si>
    <t>PPR REDUKCE VNITŘNÍ / VNĚJŚÍ D 50x40</t>
  </si>
  <si>
    <t>PPR REDUKCE VNITŘNÍ / VNĚJŚÍ D 40x32</t>
  </si>
  <si>
    <t>PPR T KUS REDUKOVANÝ D 40x32x40</t>
  </si>
  <si>
    <t>PPR KOLENO 90° D 40</t>
  </si>
  <si>
    <t>PPR KOLENO 90° D 32</t>
  </si>
  <si>
    <t>PPR PŘECHODKA S KOVOVÝM Z. VNITŘNÍ</t>
  </si>
  <si>
    <t>HTDA dvoj. odbočka 50x50x50 87°</t>
  </si>
  <si>
    <t>HTEA odbočka 50 / 50 / 67°</t>
  </si>
  <si>
    <t>HTEA odbočka 50 / 50 / 87°</t>
  </si>
  <si>
    <t>HTU přesuvná spojka DN 50</t>
  </si>
  <si>
    <t>Br přechod př. ixM 54x2" lis voda, vnější</t>
  </si>
  <si>
    <t>25603929-25628021</t>
  </si>
  <si>
    <t xml:space="preserve">topenářské šroubení přímé 2" </t>
  </si>
  <si>
    <t>KONOPÍ - rolka 40g / 40m</t>
  </si>
  <si>
    <t>R 88/1 1/2" AUT. ODVZD. VENTIL SVISLÝ</t>
  </si>
  <si>
    <t>spotřební materiál</t>
  </si>
  <si>
    <t>kotle a radiatory</t>
  </si>
  <si>
    <t>serega kupil</t>
  </si>
  <si>
    <t>Заложено работы в Kč</t>
  </si>
  <si>
    <t>Фактически работа в Kč</t>
  </si>
  <si>
    <t>часы:</t>
  </si>
  <si>
    <t>потрачено ч:</t>
  </si>
  <si>
    <t>max</t>
  </si>
  <si>
    <t>Dek</t>
  </si>
  <si>
    <t>https://drive.google.com/file/d/1uT_LCBaypvV-j2KggO6L0jb0mh7f4R7y/view?usp=sharing</t>
  </si>
  <si>
    <t>sergei</t>
  </si>
  <si>
    <t>не видно</t>
  </si>
  <si>
    <t>BM Cesko</t>
  </si>
  <si>
    <t>https://drive.google.com/file/d/1yPZPILjLstASR4PaLYKyu25ZXzuhSobL/view?usp=sharing</t>
  </si>
  <si>
    <t>Ptacek</t>
  </si>
  <si>
    <t>https://drive.google.com/file/d/16H1-dkEOFWaTWlEFtnFTr0BPoetuM18i/view?usp=sharing</t>
  </si>
  <si>
    <t>https://drive.google.com/file/d/1KZsmj1bhQbH3nW15F4YGtcUJ2uf46Mqb/view?usp=sharing</t>
  </si>
  <si>
    <t>Bauhaus</t>
  </si>
  <si>
    <t>https://drive.google.com/file/d/1Scl-2quyI62oKKHuuzcPnlWEkAqKz7dn/view?usp=sharing</t>
  </si>
  <si>
    <t>lidl</t>
  </si>
  <si>
    <t>https://drive.google.com/file/d/1vSGOTe0g5jQ_gOQNIKescmknOxlY53y3/view?usp=sharing</t>
  </si>
  <si>
    <t>https://drive.google.com/file/d/14E4fLQfOZIOL7Q1FV6P7_DkphBQUiGf0/view?usp=sharing</t>
  </si>
  <si>
    <t>https://drive.google.com/file/d/1S7uA88Lxb6DUPnALKZemL0d2waLGbvoO/view?usp=sharing</t>
  </si>
  <si>
    <t>KTO</t>
  </si>
  <si>
    <t>https://drive.google.com/file/d/1ZzUb-hy5oQqSEL20rJR_QxLD6ZXsACmU/view?usp=sharing</t>
  </si>
  <si>
    <t>https://drive.google.com/file/d/1-tSVye8j6ouphlkMVFh6YiQ4gx8WhKrt/view?usp=sharing</t>
  </si>
  <si>
    <t>https://drive.google.com/file/d/1Li9YjrJ8zTaWlWQY1-OIHQQ8Lw6_0P8k/view?usp=sharing</t>
  </si>
  <si>
    <t>https://drive.google.com/file/d/1yU_73f5QyDBct-7CVF97sj4OTtewDPWU/view?usp=sharing</t>
  </si>
  <si>
    <t>https://drive.google.com/file/d/1ZnHXbts9p3kh8YkUL9E3quYhAxkaequj/view?usp=sharing</t>
  </si>
  <si>
    <t>FlamiStop</t>
  </si>
  <si>
    <t>https://drive.google.com/file/d/1qYBy6Pku70wZYntvbGl2Lc7j-0dMdpBc/view?usp=sharing</t>
  </si>
  <si>
    <t>Ne vidno</t>
  </si>
  <si>
    <t>https://drive.google.com/file/d/1tG517ChTB5ozCWDz11hMFhCfb86sbEQH/view?usp=sharing</t>
  </si>
  <si>
    <r>
      <rPr>
        <color rgb="FF000000"/>
      </rPr>
      <t xml:space="preserve"> </t>
    </r>
    <r>
      <rPr>
        <color rgb="FF1155CC"/>
        <u/>
      </rPr>
      <t>https://drive.google.com/file/d/1AIsqgZXaqf0jKRStFdsPQv4splIJgR-t/view?usp=sharing</t>
    </r>
  </si>
  <si>
    <t>https://drive.google.com/file/d/1RqY4OWOeU_dvAsFUE7v772PlAT7LlXXD/view?usp=sharing</t>
  </si>
  <si>
    <t>https://drive.google.com/file/d/1b28n7_7xQVWItkKpNpCCU6zhi7tLETtA/view?usp=sharing</t>
  </si>
  <si>
    <t>https://drive.google.com/file/d/1JBgBx9cwoXyN2H4pPpsgU3YhJS4HYtwU/view?usp=sharing</t>
  </si>
  <si>
    <t>https://drive.google.com/file/d/1p34fRQhknErUdrBpDGcrC0FRkRysiCpQ/view?usp=sharing</t>
  </si>
  <si>
    <t>https://drive.google.com/file/d/1xvSec3TwX_1J3JgmlWb7IUE_D_dFetjN/view?usp=sharing</t>
  </si>
  <si>
    <t>https://drive.google.com/file/d/15hUXiypA1lpxXyG5YvQGzvXa7fM7U4WT/view?usp=sharing</t>
  </si>
  <si>
    <t>https://drive.google.com/file/d/1UYS-W1pBjrKBIrzWNOfxzwgi40-QHoAc/view?usp=sharing</t>
  </si>
  <si>
    <t>https://drive.google.com/file/d/15Q7zAWBzPMDAOsplk_oCxDJ97H-ZRua6/view?usp=sharing</t>
  </si>
  <si>
    <t>https://drive.google.com/file/d/1KoYkPkWORpYOPBCBx32pBw0Y_L3rxwYb/view?usp=sharing</t>
  </si>
  <si>
    <t>Dum Barev</t>
  </si>
  <si>
    <t>https://drive.google.com/file/d/1SpYXuegfW8igrH0vifaHxeq3JdiZhFBs/view?usp=sharing</t>
  </si>
  <si>
    <t xml:space="preserve">Vietnamka </t>
  </si>
  <si>
    <t>https://drive.google.com/file/d/1fDfw5Jigt8GJsrvBUkY9AyFpKB066oIR/view?usp=sharing</t>
  </si>
  <si>
    <t>https://drive.google.com/file/d/1vpY9I55XMmnuaNWTINNlW7GqLBq-kBhI/view?usp=sharing</t>
  </si>
  <si>
    <t>Instal Progres</t>
  </si>
  <si>
    <t>https://drive.google.com/file/d/1cRqplfHlzfG7ix7LtkyTeSND4JQ1TqcI/view?usp=sharing</t>
  </si>
  <si>
    <t>Linde</t>
  </si>
  <si>
    <t>https://drive.google.com/file/d/1P-3hmC5Ps6WaAx_QjVAWRyzNLQluLD0Z/view?usp=sharing</t>
  </si>
  <si>
    <t>https://drive.google.com/file/d/1pL4Z3XoZ5K3mHXRtInDhpqMa1SgSGqpf/view?usp=sharing</t>
  </si>
  <si>
    <t>https://drive.google.com/file/d/18il2gIhHbHcVBc9syMiYjXzSuQCU80cn/view?usp=sharing</t>
  </si>
  <si>
    <t>Сварщик</t>
  </si>
  <si>
    <t>https://drive.google.com/file/d/1BEXJZZ0PNXU8plcm3rmuEkeU-LK5MYHm/view?usp=sharing</t>
  </si>
  <si>
    <t>https://drive.google.com/file/d/1xpYVNg8igOZNdWgSSoT8A06TO9n5bkpt/view?usp=sharing</t>
  </si>
  <si>
    <t>https://drive.google.com/file/d/1S3LcFAD7L26GrklIrbCBu1z_QvJ-88t8/view?usp=sharing</t>
  </si>
  <si>
    <t>https://drive.google.com/file/d/1p8qy-rt_tuG56t-Bt0kU1sIGgM7u47Os/view?usp=sharing</t>
  </si>
  <si>
    <t>https://drive.google.com/file/d/1Gr3Rjxbq7p9NMH3PdB-ff8UiOaNhDNDU/view?usp=sharing</t>
  </si>
  <si>
    <t>https://drive.google.com/file/d/1USMT0hGJWDIhpfdplmHVCSlmmkrfLRXl/view?usp=sharing</t>
  </si>
  <si>
    <t>https://drive.google.com/file/d/1QMyyY1ec0lKxtr2BqPBsgdb-dBXf5Z3U/view?usp=sharing</t>
  </si>
  <si>
    <t>https://drive.google.com/file/d/1C2EhC0e1_eLdoEIVmvcoJKjNPZ4loD2Y/view?usp=sharing</t>
  </si>
  <si>
    <t>https://drive.google.com/file/d/1mt7aUuzWQJNmbtt7yHXcq41xu1DT7c_q/view?usp=sharing</t>
  </si>
  <si>
    <t>ODNO FOTO !</t>
  </si>
  <si>
    <t>f</t>
  </si>
  <si>
    <t>https://drive.google.com/file/d/1zSRK5rqbF9gLrtJ4J2E5geYMQumcbt7Y/view?usp=sharing</t>
  </si>
  <si>
    <t>https://drive.google.com/file/d/1Vbpbz5bEmB2-x76p5DusOtFbNm29Ce0-/view?usp=sharing</t>
  </si>
  <si>
    <t>https://drive.google.com/file/d/1vpGUfOBkSnUXZ1D8Do3BgWFC_fgN2jQZ/view?usp=sharing</t>
  </si>
  <si>
    <t>https://drive.google.com/file/d/1Why9m7nFKJEtIpznjEjji8WBaXrvL13e/view?usp=sharing</t>
  </si>
  <si>
    <t>https://drive.google.com/file/d/1QPQqY2fbJrHfEZonh6UrATBnEHspOze8/view?usp=sharing</t>
  </si>
  <si>
    <t>https://drive.google.com/file/d/1ncEvkgVLS5xWGGohCsd3pgfpo-2eI9Sn/view?usp=sharing</t>
  </si>
  <si>
    <t>https://drive.google.com/file/d/12xaXfadqonSL5y_VgupWWfvFifPP33xE/view?usp=sharing</t>
  </si>
  <si>
    <t>https://drive.google.com/file/d/1mn2zuhV833AyCDZyS8kVdBZGfOdRqoXE/view?usp=sharing</t>
  </si>
  <si>
    <t>https://drive.google.com/file/d/12hpChNCEhPfHkzEdbY0oNu-Mv38XmIZd/view?usp=sharing</t>
  </si>
  <si>
    <t>https://drive.google.com/file/d/1VAeMHh5nx7NlFZej1CElUo2Z-MBqqG9z/view?usp=sharing</t>
  </si>
  <si>
    <t>https://drive.google.com/file/d/1KDI6iyPIBm2WbQfnv0Jz4Ksh_hnzgEkh/view?usp=sharing</t>
  </si>
  <si>
    <t>https://drive.google.com/file/d/1FyNGbgA1N8c_jqUcZRIyva7F3Buj7vfZ/view?usp=sharing</t>
  </si>
  <si>
    <t>https://drive.google.com/file/d/1qwaUP8alDkNYH6v1fxJeLmD15Z3YvgLx/view?usp=sharing</t>
  </si>
  <si>
    <t>https://drive.google.com/file/d/1BBgNtuJj3PCTbcRQLa3Qu0dvy_v1ph_C/view?usp=sharing</t>
  </si>
  <si>
    <t>https://drive.google.com/file/d/1ZeC1XzzSsWfw7_2Z25vPAiCQL1QgRkkj/view?usp=sharing</t>
  </si>
  <si>
    <t>Poznamka</t>
  </si>
  <si>
    <t>NB2025-0251</t>
  </si>
  <si>
    <t>nabídka na 1 byt</t>
  </si>
  <si>
    <t>1-2025-0021</t>
  </si>
  <si>
    <t>NB2025-0405</t>
  </si>
  <si>
    <t>1-2025-0033</t>
  </si>
  <si>
    <t xml:space="preserve"> NB2025-0013</t>
  </si>
  <si>
    <t>согласовано ли?</t>
  </si>
  <si>
    <t>NB2025-0012</t>
  </si>
  <si>
    <t>Дата FA</t>
  </si>
  <si>
    <t>HENKEL LOC160 HENKEL LOCTITE 55 160m těsnící vlákno</t>
  </si>
  <si>
    <t>FLX1400292350 Trubka Flexira DN15 L=5000 mm</t>
  </si>
  <si>
    <t>FLX14040103LP Matice DN15, G 3/4"</t>
  </si>
  <si>
    <t>Kohout kulový voda FxF 3/4" motýl</t>
  </si>
  <si>
    <t>Kulový kohout plyn 1/2"</t>
  </si>
  <si>
    <t>Trubka Flexira DN12 L=5000 mm</t>
  </si>
  <si>
    <t>Matice DN12, G 1/2</t>
  </si>
  <si>
    <t>topenářské šroubení přímé 1/2"</t>
  </si>
  <si>
    <t>dvounipl mosaz 3/4"</t>
  </si>
  <si>
    <t>Těsnění ploché 3/4" 24/16x2</t>
  </si>
  <si>
    <t>NUVOLA DUO-TEC+ 16 , Baxi</t>
  </si>
  <si>
    <t>NUVOLA DUO-TEC+ 16 , Bax</t>
  </si>
  <si>
    <t>Matice DN15, G 3/4"</t>
  </si>
  <si>
    <t>Matice DN12, G 1/2"</t>
  </si>
  <si>
    <t>Kohout kulový voda FxM 3/4" motýl</t>
  </si>
  <si>
    <t>Souprava upev. ohřívače M12x140</t>
  </si>
  <si>
    <t>Kulový kohout 3/4" s filtrem a magnetem, Regulus</t>
  </si>
  <si>
    <t>TOPTHERM PRESS spojka 20x20</t>
  </si>
  <si>
    <t>Trubka Flexira DN15 L=5000 mm</t>
  </si>
  <si>
    <t>ALCADRAIN dvojité kolínko G1"/8–23 s klapkam</t>
  </si>
  <si>
    <t>TOPTHERM PRESS nástěnka 20-3/4"</t>
  </si>
  <si>
    <t>PPR NÁSTĚNNÉ KOLENO D 20x1/2"</t>
  </si>
  <si>
    <t>Těsnění Klingersil 1/2" 18x11x1,5mm</t>
  </si>
  <si>
    <t>Ptaček</t>
  </si>
  <si>
    <t>Termostat Baxi Duo-tec</t>
  </si>
  <si>
    <t>F3032534277</t>
  </si>
  <si>
    <t>Těsnění Klingersil 3/4" 24x15x1,5mm</t>
  </si>
  <si>
    <t>SUPERFILTER 5/4" S PÁČKOU, S MAGNETE</t>
  </si>
  <si>
    <t>VÝKAZ MATERIÁLU
NB2025-707</t>
  </si>
  <si>
    <t>SCP26-0001</t>
  </si>
  <si>
    <t>Koubková</t>
  </si>
  <si>
    <t>часы</t>
  </si>
  <si>
    <t>остатолось ч</t>
  </si>
  <si>
    <t>часы отработанные Koubková</t>
  </si>
  <si>
    <t>техник</t>
  </si>
  <si>
    <t>почасовая</t>
  </si>
  <si>
    <t>зп</t>
  </si>
  <si>
    <t>вася</t>
  </si>
  <si>
    <t>Общая сумма bez DPH</t>
  </si>
  <si>
    <t>назар</t>
  </si>
  <si>
    <t>Vasyl Polak</t>
  </si>
  <si>
    <t>откат</t>
  </si>
  <si>
    <t>hotovost 06.01.2025</t>
  </si>
  <si>
    <t>влад</t>
  </si>
  <si>
    <t>Technik od Vasilya</t>
  </si>
  <si>
    <t>Zednické opravy</t>
  </si>
  <si>
    <t>Ait-česko s.r.o.</t>
  </si>
  <si>
    <t>Klimatizační jednotky</t>
  </si>
  <si>
    <t>ваня</t>
  </si>
  <si>
    <t>Andrii Vasylkivskyi</t>
  </si>
  <si>
    <t>subdodavka</t>
  </si>
  <si>
    <t>Microwell</t>
  </si>
  <si>
    <t>https://drive.google.com/file/d/17woetkk609xAeXYKWqnqDYMDhyUy-s_b/view?usp=sharing</t>
  </si>
  <si>
    <t>https://drive.google.com/file/d/1kpUZ7IoDC7lqicCL7Vb8-875yVEXs9W5/view?usp=sharing</t>
  </si>
  <si>
    <t>https://drive.google.com/file/d/1VLJmFUnOVjIrviC1rzlKwgkryBturXgI/view?usp=sharing</t>
  </si>
  <si>
    <t xml:space="preserve"> K-Flex 15x20m</t>
  </si>
  <si>
    <t>microblue 12 ks</t>
  </si>
  <si>
    <t>https://drive.google.com/file/d/1T2ctTNPzuXIfOsZS90UhvP5RSxCOmChz/view?usp=sharing</t>
  </si>
  <si>
    <t>Hornbach</t>
  </si>
  <si>
    <t>https://drive.google.com/file/d/1grzopCk-dw2-jI1TPNT02n7U94jrFv8n/view?usp=sharing</t>
  </si>
  <si>
    <t>KV Elektro</t>
  </si>
  <si>
    <t>https://drive.google.com/file/d/1-3fxnSgXO1RJ75O4SusLLqnfR6jbyjz6/view?usp=sharing</t>
  </si>
  <si>
    <t>https://drive.google.com/file/d/1NbqeopPLNF0Gm7el9-eNE1b8BNZTMxOM/view?usp=sharing</t>
  </si>
  <si>
    <t>https://drive.google.com/file/d/1F2ajCR8SBxsrVh8uV4JoV37nPhUdulLW/view?usp=sharing</t>
  </si>
  <si>
    <t>https://drive.google.com/file/d/1BBHyD5DNcinKDAh5g-6aa8Ca-2LLH6Py/view?usp=sharing</t>
  </si>
  <si>
    <t>https://drive.google.com/file/d/1Coq1V3PwwKxjpjbOr0b9_NpaP0y_vwan/view?usp=sharing</t>
  </si>
  <si>
    <t>https://drive.google.com/file/d/1Ve2Qi_x4taZWtjCCWFzNxBQpbqzZyGzL/view?usp=sharing</t>
  </si>
  <si>
    <t>Ing. Eva Plecitá</t>
  </si>
  <si>
    <t>https://drive.google.com/file/d/1z4OAcGyYzGacTD2a3WAzmyFOPHIe-vY2/view?usp=sharing</t>
  </si>
  <si>
    <t>https://drive.google.com/file/d/1S3s7P-0cXT7a-gSAQ-WsFp2n1UkjAxNV/view?usp=sharing</t>
  </si>
  <si>
    <t>https://drive.google.com/file/d/1D0hHS-DmFeNNXOPICLcdkQUsRJueWPz9/view?usp=sharing</t>
  </si>
  <si>
    <t>https://drive.google.com/file/d/1-nWraF--4vZYIRlALRZVKQJneYYWqGov/view?usp=sharing</t>
  </si>
  <si>
    <t>https://drive.google.com/file/d/10cIUYFkxRcpT-YgQatMmJgdC1gW-mlGQ/view?usp=sharing</t>
  </si>
  <si>
    <t>https://drive.google.com/file/d/12YTjSouEQDPY1SlzRVv9X_7gvLsc1IO-/view?usp=sharing</t>
  </si>
  <si>
    <t>https://drive.google.com/file/d/1bavuVrxkMVU8W4pIw6rer0ZNqmuBKbUB/view?usp=sharing</t>
  </si>
  <si>
    <t>https://drive.google.com/file/d/1nUdsZTCfWQ8z1MD9oyYOffkLyW0qxLl1/view?usp=sharing</t>
  </si>
  <si>
    <t>Ekotez</t>
  </si>
  <si>
    <t>https://drive.google.com/file/d/1e0BmdmhT-Xu5NYMrmaVPBFphS87MZ--F/view?usp=sharing</t>
  </si>
  <si>
    <t>https://drive.google.com/file/d/1MFqCdYAXWy2uj2cZtHhz7yUrK81EC0cw/view?usp=sharing</t>
  </si>
  <si>
    <t>https://drive.google.com/file/d/15JdV95FSJVvp75Zb_JZRuwlC4v1Q2vzl/view?usp=sharing</t>
  </si>
  <si>
    <t>Prazske skuzby</t>
  </si>
  <si>
    <t>https://drive.google.com/file/d/1LGOOhXJUo4XIUvOay1Fj5eUuRvc8auQ8/view?usp=sharing</t>
  </si>
  <si>
    <t>https://drive.google.com/file/d/13tNkktc8Q834uLp_Qwy0gaF01huhhw6n/view?usp=sharing</t>
  </si>
  <si>
    <t>https://drive.google.com/file/d/1v8pl71EdMSC2rAlnQic2ftWqXfWIls4v/view?usp=sharing</t>
  </si>
  <si>
    <t>Fall Protection</t>
  </si>
  <si>
    <t>https://drive.google.com/file/d/1Pg4rKVsO4hH8y07ARR9csMetO55PvrT5/view?usp=sharing</t>
  </si>
  <si>
    <t>https://drive.google.com/file/d/1XH3ohezgp5-0EiG47Hu3DaR4tm3y3u8k/view?usp=sharing</t>
  </si>
  <si>
    <t xml:space="preserve">не видно даты </t>
  </si>
  <si>
    <t>https://drive.google.com/file/d/1xdk6E7Tf42F9kyfANRuvJIzTZFMzFyL9/view?usp=sharing</t>
  </si>
  <si>
    <t>https://drive.google.com/file/d/1ySUW0qNqV-4LPrN7z3_sX6bQty1T6zd6/view?usp=sharing</t>
  </si>
  <si>
    <t>https://drive.google.com/file/d/1c2d8iW7_w970US3kUM11MWrBdBzVUtzU/view?usp=sharing</t>
  </si>
  <si>
    <t>https://drive.google.com/file/d/1EFwSBZk01MGt_3gCNiTm0k02wdxzNURQ/view?usp=sharing</t>
  </si>
  <si>
    <t>https://drive.google.com/file/d/1qtOKjbLHBXfsCn20bibDvNYkBrk1gzin/view?usp=sharing</t>
  </si>
  <si>
    <t>https://drive.google.com/file/d/1zu6ebJSZlw0_nWVjG_n-IdOk5O_OU4h5/view?usp=sharing</t>
  </si>
  <si>
    <t>https://drive.google.com/file/d/1Gm-yzfuLWVNMzwWs1foRPUXv6IY8tkIH/view?usp=sharing</t>
  </si>
  <si>
    <t>https://drive.google.com/file/d/1Vz3fijVJlqFejxZBssVRQzew0uvJJn-D/view?usp=sharing</t>
  </si>
  <si>
    <t>Alegro</t>
  </si>
  <si>
    <t>https://drive.google.com/file/d/1jwB8_9cibnPmtzNG9Cu2ieNoSBbtWlDt/view?usp=sharing</t>
  </si>
  <si>
    <t>Vor</t>
  </si>
  <si>
    <t>https://drive.google.com/file/d/1Wc_yGBcGQ0SxG2kkVfa-HAWLldoOk6YL/view?usp=sharing</t>
  </si>
  <si>
    <t>https://drive.google.com/file/d/1qCwQL7Nu8EV2FKJEtGK0diJNEngnpLEl/view?usp=sharing</t>
  </si>
  <si>
    <t>Drevoprodej</t>
  </si>
  <si>
    <t>https://drive.google.com/file/d/16BQ1yX4gg3tTEZxf7a9OMUr8jlEO3djc/view?usp=sharing</t>
  </si>
  <si>
    <t>https://drive.google.com/file/d/1U0mY7UvKLBwol683bz7837mmf8rneuVB/view?usp=sharing</t>
  </si>
  <si>
    <t>https://drive.google.com/file/d/1GiOjUbI0YTPdWVvHDue6XxG5twxVVJ6w/view?usp=sharing</t>
  </si>
  <si>
    <t>https://drive.google.com/file/d/1lVIfcvtcN-dckp3w0LnG5ykSDdbHSq9E/view?usp=sharing</t>
  </si>
  <si>
    <t>https://drive.google.com/file/d/1q4PDEypgxVdsnTiWrTvBuk-uRiIE8DTE/view?usp=sharing</t>
  </si>
  <si>
    <t>https://drive.google.com/file/d/1H0PKRYq3BwBFAU0kBggYbxoR02ydIIPe/view?usp=sharing</t>
  </si>
  <si>
    <t>https://drive.google.com/file/d/17BRz1_NURp-fWgAJBb92UQ2zxDG07w5E/view?usp=sharing</t>
  </si>
  <si>
    <t>OBI</t>
  </si>
  <si>
    <t>https://drive.google.com/file/d/1rbaXDXgmA_hystznUJ2MEKXccElat2FB/view?usp=sharing</t>
  </si>
  <si>
    <t>https://drive.google.com/file/d/1CFMCzY5fYDJw-o2w75BUmNWbtib0VsSp/view?usp=sharing</t>
  </si>
  <si>
    <t>Sklenari</t>
  </si>
  <si>
    <t>https://drive.google.com/file/d/1II_R7hH0IPn-PT8Q3JBm3_vkaEi79stT/view?usp=sharing</t>
  </si>
  <si>
    <t>https://drive.google.com/file/d/1gSBXauP6fCdsz-G-ErqoBLFYO6NNDGog/view?usp=sharing</t>
  </si>
  <si>
    <t>https://drive.google.com/file/d/1JFhJHfomsXaEVKKWzzQA76SgXhBzQbSJ/view?usp=sharing</t>
  </si>
  <si>
    <t>F</t>
  </si>
  <si>
    <t>https://drive.google.com/file/d/1cAcIrv_zLcVw7iMb91a7TB22iSQpZv2T/view?usp=sharing</t>
  </si>
  <si>
    <t>https://drive.google.com/file/d/19gTa-MW1lFuxkFNJQpc_PdI0rZeS0Tdr/view?usp=sharing</t>
  </si>
  <si>
    <t>https://drive.google.com/file/d/1mYoihOojo_liXIwXuJopBeXmqEwNskQJ/view?usp=sharing</t>
  </si>
  <si>
    <t>https://drive.google.com/file/d/1LqsuKHyVbWeKQJ_-zxx9a3Vr4-MH96eq/view?usp=sharing</t>
  </si>
  <si>
    <t>https://drive.google.com/file/d/1JhCvw-4beJrW_Y157f0sNKFdI478pRj_/view?usp=sharing</t>
  </si>
  <si>
    <t>https://drive.google.com/file/d/1cGu2o5IZrFI99BJVVc1P67k8eEPCgVn4/view?usp=sharing</t>
  </si>
  <si>
    <t>https://drive.google.com/file/d/1zGkipWKpWAYIVR3NMXUEYOi1NG5dXENx/view?usp=sharing</t>
  </si>
  <si>
    <t>https://drive.google.com/file/d/10UOUgw2XSbuJ7p7JRHBIBgyn2jgSyzKw/view?usp=sharing</t>
  </si>
  <si>
    <t>https://drive.google.com/file/d/126ZmHSru0-GprwTPiaCEUqzboXPLkucz/view?usp=sharing</t>
  </si>
  <si>
    <t>https://drive.google.com/file/d/13dcTyWFia4K_r2P1pUxxUyO5MGqK62iS/view?usp=sharing</t>
  </si>
  <si>
    <t>VÝKAZ MATERIÁLU</t>
  </si>
  <si>
    <t xml:space="preserve"> 1-2025-0103</t>
  </si>
  <si>
    <t>ID</t>
  </si>
  <si>
    <t>Название</t>
  </si>
  <si>
    <t>Адрес</t>
  </si>
  <si>
    <t>Статус</t>
  </si>
  <si>
    <t>Бюджет (CZK)</t>
  </si>
  <si>
    <t>Валюта</t>
  </si>
  <si>
    <t>Заложенные часы</t>
  </si>
  <si>
    <t>Дата начала</t>
  </si>
  <si>
    <t>Объект</t>
  </si>
  <si>
    <t>Сумма (CZK)</t>
  </si>
  <si>
    <t>Сумма оригинал</t>
  </si>
  <si>
    <t>Категория</t>
  </si>
  <si>
    <t>Магазин</t>
  </si>
  <si>
    <t>Описание</t>
  </si>
  <si>
    <t>2026-01-13T22:00:00.000Z</t>
  </si>
  <si>
    <t>Тест</t>
  </si>
  <si>
    <t>5839.39</t>
  </si>
  <si>
    <t>278.00</t>
  </si>
  <si>
    <t>USD</t>
  </si>
  <si>
    <t>услуги</t>
  </si>
  <si>
    <t>PRIADKIN HEORHII</t>
  </si>
  <si>
    <t>Разработка ПО</t>
  </si>
  <si>
    <t>Машина</t>
  </si>
  <si>
    <t>Техник</t>
  </si>
  <si>
    <t>Часы</t>
  </si>
  <si>
    <t>2026-03-03T22:00:00.000Z</t>
  </si>
  <si>
    <t/>
  </si>
  <si>
    <t>Иван</t>
  </si>
  <si>
    <t>Потрачено (CZK)</t>
  </si>
  <si>
    <t>Остаток (CZK)</t>
  </si>
  <si>
    <t>Заложено часов</t>
  </si>
  <si>
    <t>Израсходовано часов</t>
  </si>
  <si>
    <t>Остаток часов</t>
  </si>
  <si>
    <t>Номер/Название</t>
  </si>
  <si>
    <t>Помощников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</si>
</sst>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.m.yyyy"/>
    <numFmt numFmtId="165" formatCode="dd. mm. yyyy"/>
    <numFmt numFmtId="166" formatCode="d. m. yyyy"/>
    <numFmt numFmtId="167" formatCode="dd.mm"/>
    <numFmt numFmtId="168" formatCode="dd&quot;.&quot;mm"/>
    <numFmt numFmtId="169" formatCode="d.m"/>
    <numFmt numFmtId="170" formatCode="dd.mm.yyyy"/>
  </numFmts>
  <fonts count="31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color theme="1"/>
      <name val="Arial"/>
      <scheme val="minor"/>
    </font>
    <font>
      <b/>
      <u/>
      <sz val="9.0"/>
      <color rgb="FF0000FF"/>
    </font>
    <font>
      <b/>
      <sz val="12.0"/>
      <color theme="1"/>
      <name val="Calibri"/>
    </font>
    <font>
      <sz val="12.0"/>
      <color theme="1"/>
      <name val="Arial"/>
    </font>
    <font>
      <sz val="12.0"/>
      <color theme="1"/>
      <name val="Arial"/>
      <scheme val="minor"/>
    </font>
    <font>
      <sz val="12.0"/>
      <color theme="1"/>
      <name val="Calibri"/>
    </font>
    <font>
      <b/>
      <sz val="11.0"/>
      <color theme="1"/>
      <name val="Calibri"/>
    </font>
    <font>
      <i/>
      <color theme="1"/>
      <name val="Arial"/>
      <scheme val="minor"/>
    </font>
    <font>
      <b/>
      <sz val="14.0"/>
      <color theme="1"/>
      <name val="Arial"/>
      <scheme val="minor"/>
    </font>
    <font/>
    <font>
      <b/>
      <color rgb="FFFF0000"/>
      <name val="Arial"/>
      <scheme val="minor"/>
    </font>
    <font>
      <b/>
      <color theme="1"/>
      <name val="Arial"/>
      <scheme val="minor"/>
    </font>
    <font>
      <sz val="9.0"/>
      <color theme="1"/>
      <name val="Arial"/>
      <scheme val="minor"/>
    </font>
    <font>
      <i/>
      <color theme="1"/>
      <name val="Arial"/>
    </font>
    <font>
      <color theme="1"/>
      <name val="Arial"/>
    </font>
    <font>
      <b/>
      <sz val="12.0"/>
      <color rgb="FF000000"/>
      <name val="Arial"/>
      <scheme val="minor"/>
    </font>
    <font>
      <i/>
      <color rgb="FFB7B7B7"/>
      <name val="Arial"/>
      <scheme val="minor"/>
    </font>
    <font>
      <color rgb="FFB7B7B7"/>
      <name val="Arial"/>
      <scheme val="minor"/>
    </font>
    <font>
      <i/>
      <color rgb="FF999999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rgb="FF000000"/>
    </font>
    <font>
      <u/>
      <color rgb="FF0000FF"/>
    </font>
    <font>
      <i/>
      <color rgb="FF666666"/>
      <name val="Arial"/>
      <scheme val="minor"/>
    </font>
    <font>
      <b/>
      <i/>
      <color theme="1"/>
      <name val="Arial"/>
      <scheme val="minor"/>
    </font>
    <font>
      <b/>
      <sz val="11.0"/>
      <color rgb="FF000000"/>
      <name val="Arial"/>
      <scheme val="minor"/>
    </font>
    <font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7FAE0"/>
        <bgColor rgb="FFE7FAE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1" fillId="3" fontId="4" numFmtId="4" xfId="0" applyAlignment="1" applyBorder="1" applyFont="1" applyNumberForma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vertical="center"/>
    </xf>
    <xf borderId="1" fillId="3" fontId="4" numFmtId="164" xfId="0" applyAlignment="1" applyBorder="1" applyFont="1" applyNumberFormat="1">
      <alignment horizontal="center" readingOrder="0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1" fillId="4" fontId="4" numFmtId="4" xfId="0" applyAlignment="1" applyBorder="1" applyFont="1" applyNumberFormat="1">
      <alignment horizontal="center" readingOrder="0" shrinkToFit="0" vertical="center" wrapText="1"/>
    </xf>
    <xf borderId="1" fillId="4" fontId="5" numFmtId="0" xfId="0" applyAlignment="1" applyBorder="1" applyFont="1">
      <alignment horizontal="center" readingOrder="0" vertical="center"/>
    </xf>
    <xf borderId="1" fillId="4" fontId="4" numFmtId="165" xfId="0" applyAlignment="1" applyBorder="1" applyFont="1" applyNumberFormat="1">
      <alignment horizontal="center" readingOrder="0" shrinkToFit="0" vertical="center" wrapText="1"/>
    </xf>
    <xf borderId="1" fillId="4" fontId="4" numFmtId="166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vertical="center"/>
    </xf>
    <xf borderId="1" fillId="4" fontId="5" numFmtId="9" xfId="0" applyAlignment="1" applyBorder="1" applyFont="1" applyNumberFormat="1">
      <alignment horizontal="center" readingOrder="0" vertical="center"/>
    </xf>
    <xf borderId="1" fillId="4" fontId="7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shrinkToFit="0" vertical="center" wrapText="1"/>
    </xf>
    <xf borderId="0" fillId="4" fontId="8" numFmtId="0" xfId="0" applyAlignment="1" applyFont="1">
      <alignment horizontal="center" readingOrder="0" shrinkToFit="0" vertical="center" wrapText="1"/>
    </xf>
    <xf borderId="1" fillId="5" fontId="8" numFmtId="0" xfId="0" applyAlignment="1" applyBorder="1" applyFill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0" fillId="0" fontId="9" numFmtId="0" xfId="0" applyAlignment="1" applyFont="1">
      <alignment horizontal="center" readingOrder="0"/>
    </xf>
    <xf borderId="1" fillId="6" fontId="8" numFmtId="0" xfId="0" applyAlignment="1" applyBorder="1" applyFill="1" applyFont="1">
      <alignment horizontal="center" readingOrder="0" vertical="bottom"/>
    </xf>
    <xf borderId="1" fillId="0" fontId="2" numFmtId="167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2" fillId="0" fontId="10" numFmtId="0" xfId="0" applyAlignment="1" applyBorder="1" applyFont="1">
      <alignment horizontal="right" readingOrder="0"/>
    </xf>
    <xf borderId="3" fillId="0" fontId="11" numFmtId="0" xfId="0" applyBorder="1" applyFont="1"/>
    <xf borderId="4" fillId="0" fontId="11" numFmtId="0" xfId="0" applyBorder="1" applyFont="1"/>
    <xf borderId="1" fillId="0" fontId="10" numFmtId="0" xfId="0" applyBorder="1" applyFont="1"/>
    <xf borderId="1" fillId="0" fontId="6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shrinkToFit="0" wrapText="1"/>
    </xf>
    <xf borderId="0" fillId="0" fontId="12" numFmtId="0" xfId="0" applyAlignment="1" applyFont="1">
      <alignment horizontal="center" readingOrder="0"/>
    </xf>
    <xf borderId="1" fillId="5" fontId="4" numFmtId="0" xfId="0" applyAlignment="1" applyBorder="1" applyFont="1">
      <alignment horizontal="center" readingOrder="0" vertical="bottom"/>
    </xf>
    <xf borderId="1" fillId="5" fontId="4" numFmtId="0" xfId="0" applyAlignment="1" applyBorder="1" applyFont="1">
      <alignment horizontal="center" readingOrder="0" shrinkToFit="0" vertical="bottom" wrapText="1"/>
    </xf>
    <xf borderId="1" fillId="0" fontId="2" numFmtId="168" xfId="0" applyAlignment="1" applyBorder="1" applyFont="1" applyNumberFormat="1">
      <alignment horizontal="center" readingOrder="0"/>
    </xf>
    <xf borderId="1" fillId="6" fontId="13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/>
    </xf>
    <xf borderId="1" fillId="0" fontId="2" numFmtId="168" xfId="0" applyAlignment="1" applyBorder="1" applyFont="1" applyNumberFormat="1">
      <alignment horizontal="center"/>
    </xf>
    <xf borderId="1" fillId="0" fontId="9" numFmtId="0" xfId="0" applyAlignment="1" applyBorder="1" applyFont="1">
      <alignment horizontal="center" readingOrder="0"/>
    </xf>
    <xf borderId="1" fillId="0" fontId="2" numFmtId="168" xfId="0" applyAlignment="1" applyBorder="1" applyFont="1" applyNumberFormat="1">
      <alignment horizontal="center" readingOrder="0" vertical="center"/>
    </xf>
    <xf borderId="1" fillId="7" fontId="14" numFmtId="0" xfId="0" applyAlignment="1" applyBorder="1" applyFill="1" applyFont="1">
      <alignment horizontal="left" readingOrder="0" shrinkToFit="0" vertical="center" wrapText="1"/>
    </xf>
    <xf borderId="1" fillId="7" fontId="2" numFmtId="0" xfId="0" applyAlignment="1" applyBorder="1" applyFont="1">
      <alignment horizontal="center" readingOrder="0" vertical="center"/>
    </xf>
    <xf borderId="1" fillId="7" fontId="2" numFmtId="0" xfId="0" applyAlignment="1" applyBorder="1" applyFont="1">
      <alignment horizontal="left" readingOrder="0" vertical="center"/>
    </xf>
    <xf borderId="1" fillId="7" fontId="2" numFmtId="0" xfId="0" applyAlignment="1" applyBorder="1" applyFont="1">
      <alignment horizontal="left"/>
    </xf>
    <xf borderId="0" fillId="0" fontId="2" numFmtId="0" xfId="0" applyAlignment="1" applyFont="1">
      <alignment vertical="center"/>
    </xf>
    <xf borderId="1" fillId="0" fontId="14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1" fillId="7" fontId="2" numFmtId="0" xfId="0" applyAlignment="1" applyBorder="1" applyFont="1">
      <alignment horizontal="center" readingOrder="0"/>
    </xf>
    <xf borderId="1" fillId="7" fontId="2" numFmtId="0" xfId="0" applyAlignment="1" applyBorder="1" applyFont="1">
      <alignment horizontal="left" readingOrder="0"/>
    </xf>
    <xf borderId="1" fillId="0" fontId="2" numFmtId="169" xfId="0" applyAlignment="1" applyBorder="1" applyFont="1" applyNumberFormat="1">
      <alignment horizontal="center" readingOrder="0"/>
    </xf>
    <xf borderId="1" fillId="0" fontId="2" numFmtId="169" xfId="0" applyAlignment="1" applyBorder="1" applyFont="1" applyNumberFormat="1">
      <alignment horizontal="center" readingOrder="0" vertical="center"/>
    </xf>
    <xf borderId="1" fillId="0" fontId="15" numFmtId="0" xfId="0" applyAlignment="1" applyBorder="1" applyFont="1">
      <alignment horizontal="center" vertical="bottom"/>
    </xf>
    <xf borderId="1" fillId="0" fontId="16" numFmtId="0" xfId="0" applyAlignment="1" applyBorder="1" applyFont="1">
      <alignment vertical="bottom"/>
    </xf>
    <xf borderId="1" fillId="4" fontId="14" numFmtId="0" xfId="0" applyAlignment="1" applyBorder="1" applyFont="1">
      <alignment horizontal="left" readingOrder="0" shrinkToFit="0" wrapText="1"/>
    </xf>
    <xf borderId="1" fillId="0" fontId="13" numFmtId="0" xfId="0" applyAlignment="1" applyBorder="1" applyFont="1">
      <alignment readingOrder="0"/>
    </xf>
    <xf borderId="1" fillId="4" fontId="2" numFmtId="169" xfId="0" applyAlignment="1" applyBorder="1" applyFont="1" applyNumberFormat="1">
      <alignment horizontal="center" readingOrder="0"/>
    </xf>
    <xf borderId="1" fillId="4" fontId="2" numFmtId="0" xfId="0" applyAlignment="1" applyBorder="1" applyFont="1">
      <alignment horizontal="center" readingOrder="0"/>
    </xf>
    <xf borderId="0" fillId="4" fontId="2" numFmtId="0" xfId="0" applyFont="1"/>
    <xf borderId="1" fillId="4" fontId="2" numFmtId="0" xfId="0" applyAlignment="1" applyBorder="1" applyFont="1">
      <alignment horizontal="center"/>
    </xf>
    <xf borderId="1" fillId="4" fontId="15" numFmtId="0" xfId="0" applyAlignment="1" applyBorder="1" applyFont="1">
      <alignment horizontal="center" readingOrder="0" vertical="bottom"/>
    </xf>
    <xf borderId="1" fillId="4" fontId="13" numFmtId="0" xfId="0" applyAlignment="1" applyBorder="1" applyFont="1">
      <alignment readingOrder="0"/>
    </xf>
    <xf borderId="1" fillId="4" fontId="2" numFmtId="0" xfId="0" applyBorder="1" applyFont="1"/>
    <xf borderId="2" fillId="0" fontId="10" numFmtId="0" xfId="0" applyAlignment="1" applyBorder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1" fillId="3" fontId="17" numFmtId="0" xfId="0" applyAlignment="1" applyBorder="1" applyFont="1">
      <alignment horizontal="center" readingOrder="0" shrinkToFit="0" vertical="center" wrapText="1"/>
    </xf>
    <xf borderId="1" fillId="3" fontId="5" numFmtId="9" xfId="0" applyAlignment="1" applyBorder="1" applyFont="1" applyNumberFormat="1">
      <alignment horizontal="center" readingOrder="0" vertical="center"/>
    </xf>
    <xf borderId="1" fillId="4" fontId="7" numFmtId="165" xfId="0" applyAlignment="1" applyBorder="1" applyFont="1" applyNumberFormat="1">
      <alignment horizontal="center" readingOrder="0" shrinkToFit="0" vertical="center" wrapText="1"/>
    </xf>
    <xf borderId="0" fillId="0" fontId="18" numFmtId="0" xfId="0" applyAlignment="1" applyFont="1">
      <alignment horizontal="center" readingOrder="0"/>
    </xf>
    <xf borderId="0" fillId="0" fontId="19" numFmtId="0" xfId="0" applyFont="1"/>
    <xf borderId="0" fillId="0" fontId="19" numFmtId="0" xfId="0" applyAlignment="1" applyFont="1">
      <alignment horizontal="center"/>
    </xf>
    <xf borderId="0" fillId="0" fontId="20" numFmtId="0" xfId="0" applyAlignment="1" applyFont="1">
      <alignment horizontal="center" readingOrder="0"/>
    </xf>
    <xf borderId="0" fillId="0" fontId="20" numFmtId="1" xfId="0" applyAlignment="1" applyFont="1" applyNumberFormat="1">
      <alignment horizontal="center" readingOrder="0"/>
    </xf>
    <xf borderId="0" fillId="0" fontId="2" numFmtId="1" xfId="0" applyFont="1" applyNumberFormat="1"/>
    <xf borderId="1" fillId="0" fontId="2" numFmtId="0" xfId="0" applyAlignment="1" applyBorder="1" applyFont="1">
      <alignment horizontal="right" readingOrder="0"/>
    </xf>
    <xf borderId="1" fillId="0" fontId="21" numFmtId="0" xfId="0" applyAlignment="1" applyBorder="1" applyFont="1">
      <alignment horizontal="center" readingOrder="0" shrinkToFit="0" wrapText="0"/>
    </xf>
    <xf borderId="1" fillId="0" fontId="2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169" xfId="0" applyAlignment="1" applyBorder="1" applyFont="1" applyNumberFormat="1">
      <alignment readingOrder="0"/>
    </xf>
    <xf borderId="1" fillId="0" fontId="23" numFmtId="0" xfId="0" applyAlignment="1" applyBorder="1" applyFont="1">
      <alignment readingOrder="0" shrinkToFit="0" wrapText="0"/>
    </xf>
    <xf borderId="1" fillId="0" fontId="24" numFmtId="0" xfId="0" applyAlignment="1" applyBorder="1" applyFont="1">
      <alignment readingOrder="0" shrinkToFit="0" wrapText="0"/>
    </xf>
    <xf borderId="1" fillId="0" fontId="25" numFmtId="0" xfId="0" applyAlignment="1" applyBorder="1" applyFont="1">
      <alignment readingOrder="0" shrinkToFit="0" wrapText="0"/>
    </xf>
    <xf borderId="1" fillId="4" fontId="2" numFmtId="169" xfId="0" applyAlignment="1" applyBorder="1" applyFont="1" applyNumberFormat="1">
      <alignment readingOrder="0"/>
    </xf>
    <xf borderId="1" fillId="4" fontId="26" numFmtId="0" xfId="0" applyAlignment="1" applyBorder="1" applyFont="1">
      <alignment readingOrder="0" shrinkToFit="0" wrapText="0"/>
    </xf>
    <xf borderId="0" fillId="4" fontId="2" numFmtId="0" xfId="0" applyAlignment="1" applyFont="1">
      <alignment horizontal="center" readingOrder="0" shrinkToFit="0" wrapText="1"/>
    </xf>
    <xf borderId="1" fillId="8" fontId="2" numFmtId="0" xfId="0" applyAlignment="1" applyBorder="1" applyFill="1" applyFont="1">
      <alignment horizontal="center" readingOrder="0"/>
    </xf>
    <xf borderId="1" fillId="8" fontId="2" numFmtId="0" xfId="0" applyAlignment="1" applyBorder="1" applyFont="1">
      <alignment horizontal="center"/>
    </xf>
    <xf borderId="0" fillId="8" fontId="2" numFmtId="0" xfId="0" applyAlignment="1" applyFont="1">
      <alignment readingOrder="0"/>
    </xf>
    <xf borderId="0" fillId="8" fontId="2" numFmtId="0" xfId="0" applyFont="1"/>
    <xf borderId="1" fillId="0" fontId="2" numFmtId="0" xfId="0" applyAlignment="1" applyBorder="1" applyFont="1">
      <alignment shrinkToFit="0" wrapText="0"/>
    </xf>
    <xf borderId="1" fillId="3" fontId="4" numFmtId="165" xfId="0" applyAlignment="1" applyBorder="1" applyFont="1" applyNumberFormat="1">
      <alignment horizontal="center" readingOrder="0" shrinkToFit="0" vertical="center" wrapText="1"/>
    </xf>
    <xf borderId="1" fillId="3" fontId="6" numFmtId="165" xfId="0" applyAlignment="1" applyBorder="1" applyFont="1" applyNumberFormat="1">
      <alignment horizontal="center" readingOrder="0" shrinkToFit="0" vertical="center" wrapText="1"/>
    </xf>
    <xf borderId="1" fillId="3" fontId="6" numFmtId="170" xfId="0" applyAlignment="1" applyBorder="1" applyFont="1" applyNumberFormat="1">
      <alignment horizontal="center" readingOrder="0" shrinkToFit="0" vertical="center" wrapText="1"/>
    </xf>
    <xf borderId="1" fillId="3" fontId="6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5" fontId="8" numFmtId="4" xfId="0" applyAlignment="1" applyBorder="1" applyFont="1" applyNumberFormat="1">
      <alignment horizontal="center" readingOrder="0" shrinkToFit="0" vertical="center" wrapText="1"/>
    </xf>
    <xf borderId="1" fillId="0" fontId="6" numFmtId="4" xfId="0" applyAlignment="1" applyBorder="1" applyFont="1" applyNumberFormat="1">
      <alignment horizontal="center"/>
    </xf>
    <xf borderId="1" fillId="0" fontId="2" numFmtId="4" xfId="0" applyAlignment="1" applyBorder="1" applyFont="1" applyNumberFormat="1">
      <alignment horizontal="center" readingOrder="0"/>
    </xf>
    <xf borderId="0" fillId="0" fontId="2" numFmtId="4" xfId="0" applyFont="1" applyNumberFormat="1"/>
    <xf borderId="1" fillId="6" fontId="8" numFmtId="4" xfId="0" applyAlignment="1" applyBorder="1" applyFont="1" applyNumberFormat="1">
      <alignment horizontal="center" readingOrder="0" vertical="bottom"/>
    </xf>
    <xf borderId="1" fillId="0" fontId="2" numFmtId="164" xfId="0" applyAlignment="1" applyBorder="1" applyFont="1" applyNumberFormat="1">
      <alignment readingOrder="0"/>
    </xf>
    <xf borderId="1" fillId="0" fontId="2" numFmtId="4" xfId="0" applyAlignment="1" applyBorder="1" applyFont="1" applyNumberFormat="1">
      <alignment readingOrder="0"/>
    </xf>
    <xf borderId="1" fillId="0" fontId="2" numFmtId="4" xfId="0" applyAlignment="1" applyBorder="1" applyFont="1" applyNumberFormat="1">
      <alignment horizontal="center"/>
    </xf>
    <xf borderId="1" fillId="0" fontId="9" numFmtId="0" xfId="0" applyAlignment="1" applyBorder="1" applyFont="1">
      <alignment horizontal="center"/>
    </xf>
    <xf borderId="1" fillId="9" fontId="2" numFmtId="0" xfId="0" applyAlignment="1" applyBorder="1" applyFill="1" applyFont="1">
      <alignment readingOrder="0"/>
    </xf>
    <xf borderId="1" fillId="9" fontId="2" numFmtId="4" xfId="0" applyAlignment="1" applyBorder="1" applyFont="1" applyNumberFormat="1">
      <alignment readingOrder="0"/>
    </xf>
    <xf borderId="1" fillId="9" fontId="2" numFmtId="4" xfId="0" applyAlignment="1" applyBorder="1" applyFont="1" applyNumberFormat="1">
      <alignment horizontal="center"/>
    </xf>
    <xf borderId="1" fillId="0" fontId="2" numFmtId="170" xfId="0" applyAlignment="1" applyBorder="1" applyFont="1" applyNumberFormat="1">
      <alignment readingOrder="0"/>
    </xf>
    <xf borderId="0" fillId="0" fontId="2" numFmtId="170" xfId="0" applyAlignment="1" applyFont="1" applyNumberFormat="1">
      <alignment readingOrder="0"/>
    </xf>
    <xf borderId="5" fillId="0" fontId="2" numFmtId="0" xfId="0" applyAlignment="1" applyBorder="1" applyFont="1">
      <alignment readingOrder="0" vertical="center"/>
    </xf>
    <xf borderId="5" fillId="0" fontId="2" numFmtId="4" xfId="0" applyAlignment="1" applyBorder="1" applyFont="1" applyNumberFormat="1">
      <alignment readingOrder="0" vertical="center"/>
    </xf>
    <xf borderId="5" fillId="0" fontId="2" numFmtId="4" xfId="0" applyAlignment="1" applyBorder="1" applyFont="1" applyNumberFormat="1">
      <alignment horizontal="center" vertical="center"/>
    </xf>
    <xf borderId="6" fillId="0" fontId="11" numFmtId="0" xfId="0" applyBorder="1" applyFont="1"/>
    <xf borderId="0" fillId="0" fontId="2" numFmtId="164" xfId="0" applyAlignment="1" applyFont="1" applyNumberFormat="1">
      <alignment readingOrder="0"/>
    </xf>
    <xf borderId="1" fillId="0" fontId="10" numFmtId="4" xfId="0" applyBorder="1" applyFont="1" applyNumberFormat="1"/>
    <xf borderId="1" fillId="2" fontId="1" numFmtId="0" xfId="0" applyAlignment="1" applyBorder="1" applyFont="1">
      <alignment horizontal="center" readingOrder="0" shrinkToFit="0" vertical="center" wrapText="0"/>
    </xf>
    <xf borderId="1" fillId="2" fontId="1" numFmtId="4" xfId="0" applyAlignment="1" applyBorder="1" applyFont="1" applyNumberFormat="1">
      <alignment horizontal="center" readingOrder="0" shrinkToFit="0" vertical="center" wrapText="1"/>
    </xf>
    <xf borderId="1" fillId="3" fontId="4" numFmtId="4" xfId="0" applyAlignment="1" applyBorder="1" applyFont="1" applyNumberFormat="1">
      <alignment horizontal="center" readingOrder="0" shrinkToFit="0" vertical="center" wrapText="0"/>
    </xf>
    <xf borderId="1" fillId="4" fontId="4" numFmtId="4" xfId="0" applyAlignment="1" applyBorder="1" applyFont="1" applyNumberFormat="1">
      <alignment horizontal="center" readingOrder="0" shrinkToFit="0" vertical="center" wrapText="0"/>
    </xf>
    <xf borderId="0" fillId="4" fontId="8" numFmtId="0" xfId="0" applyAlignment="1" applyFont="1">
      <alignment horizontal="center" readingOrder="0" shrinkToFit="0" vertical="center" wrapText="0"/>
    </xf>
    <xf borderId="0" fillId="4" fontId="8" numFmtId="4" xfId="0" applyAlignment="1" applyFont="1" applyNumberFormat="1">
      <alignment horizontal="center" readingOrder="0" shrinkToFit="0" vertical="center" wrapText="1"/>
    </xf>
    <xf borderId="1" fillId="5" fontId="8" numFmtId="0" xfId="0" applyAlignment="1" applyBorder="1" applyFont="1">
      <alignment horizontal="center" readingOrder="0" shrinkToFit="0" vertical="center" wrapText="0"/>
    </xf>
    <xf borderId="1" fillId="0" fontId="6" numFmtId="4" xfId="0" applyAlignment="1" applyBorder="1" applyFont="1" applyNumberFormat="1">
      <alignment horizontal="center" readingOrder="0"/>
    </xf>
    <xf borderId="1" fillId="0" fontId="6" numFmtId="4" xfId="0" applyAlignment="1" applyBorder="1" applyFont="1" applyNumberFormat="1">
      <alignment horizontal="center" shrinkToFit="0" wrapText="0"/>
    </xf>
    <xf borderId="0" fillId="0" fontId="2" numFmtId="0" xfId="0" applyAlignment="1" applyFont="1">
      <alignment horizontal="center" shrinkToFit="0" wrapText="0"/>
    </xf>
    <xf borderId="7" fillId="0" fontId="27" numFmtId="49" xfId="0" applyAlignment="1" applyBorder="1" applyFont="1" applyNumberFormat="1">
      <alignment horizontal="center" readingOrder="0"/>
    </xf>
    <xf borderId="0" fillId="4" fontId="13" numFmtId="0" xfId="0" applyAlignment="1" applyFont="1">
      <alignment horizontal="center" readingOrder="0" vertical="center"/>
    </xf>
    <xf borderId="0" fillId="4" fontId="13" numFmtId="0" xfId="0" applyAlignment="1" applyFont="1">
      <alignment horizontal="center" vertical="center"/>
    </xf>
    <xf borderId="2" fillId="6" fontId="13" numFmtId="0" xfId="0" applyAlignment="1" applyBorder="1" applyFont="1">
      <alignment horizontal="center" readingOrder="0" vertical="center"/>
    </xf>
    <xf borderId="1" fillId="6" fontId="13" numFmtId="0" xfId="0" applyAlignment="1" applyBorder="1" applyFont="1">
      <alignment horizontal="center" vertical="center"/>
    </xf>
    <xf borderId="8" fillId="0" fontId="27" numFmtId="4" xfId="0" applyAlignment="1" applyBorder="1" applyFont="1" applyNumberFormat="1">
      <alignment horizontal="center" readingOrder="0"/>
    </xf>
    <xf borderId="1" fillId="0" fontId="13" numFmtId="0" xfId="0" applyAlignment="1" applyBorder="1" applyFont="1">
      <alignment horizontal="center" readingOrder="0" vertical="center"/>
    </xf>
    <xf borderId="0" fillId="0" fontId="2" numFmtId="4" xfId="0" applyAlignment="1" applyFont="1" applyNumberFormat="1">
      <alignment horizontal="center"/>
    </xf>
    <xf borderId="0" fillId="4" fontId="2" numFmtId="0" xfId="0" applyAlignment="1" applyFont="1">
      <alignment horizontal="right" readingOrder="0" vertical="center"/>
    </xf>
    <xf borderId="0" fillId="4" fontId="2" numFmtId="0" xfId="0" applyAlignment="1" applyFont="1">
      <alignment horizontal="center" readingOrder="0" vertical="center"/>
    </xf>
    <xf borderId="0" fillId="4" fontId="2" numFmtId="0" xfId="0" applyAlignment="1" applyFont="1">
      <alignment horizontal="left"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left" vertical="center"/>
    </xf>
    <xf borderId="1" fillId="6" fontId="8" numFmtId="0" xfId="0" applyAlignment="1" applyBorder="1" applyFont="1">
      <alignment horizontal="center" readingOrder="0" shrinkToFit="0" vertical="bottom" wrapText="0"/>
    </xf>
    <xf borderId="1" fillId="10" fontId="13" numFmtId="0" xfId="0" applyAlignment="1" applyBorder="1" applyFill="1" applyFont="1">
      <alignment horizontal="center" readingOrder="0"/>
    </xf>
    <xf borderId="0" fillId="0" fontId="28" numFmtId="0" xfId="0" applyAlignment="1" applyFont="1">
      <alignment readingOrder="0"/>
    </xf>
    <xf borderId="1" fillId="4" fontId="2" numFmtId="4" xfId="0" applyAlignment="1" applyBorder="1" applyFont="1" applyNumberFormat="1">
      <alignment horizontal="center" readingOrder="0"/>
    </xf>
    <xf borderId="1" fillId="0" fontId="2" numFmtId="167" xfId="0" applyAlignment="1" applyBorder="1" applyFont="1" applyNumberFormat="1">
      <alignment horizontal="center" readingOrder="0" vertical="center"/>
    </xf>
    <xf borderId="1" fillId="10" fontId="1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0"/>
    </xf>
    <xf borderId="1" fillId="4" fontId="2" numFmtId="4" xfId="0" applyAlignment="1" applyBorder="1" applyFont="1" applyNumberFormat="1">
      <alignment horizontal="center" readingOrder="0" vertical="center"/>
    </xf>
    <xf borderId="1" fillId="0" fontId="2" numFmtId="4" xfId="0" applyAlignment="1" applyBorder="1" applyFont="1" applyNumberFormat="1">
      <alignment horizontal="center" vertical="center"/>
    </xf>
    <xf borderId="0" fillId="0" fontId="2" numFmtId="4" xfId="0" applyAlignment="1" applyFont="1" applyNumberFormat="1">
      <alignment readingOrder="0"/>
    </xf>
    <xf borderId="1" fillId="0" fontId="1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0"/>
    </xf>
    <xf borderId="1" fillId="0" fontId="10" numFmtId="4" xfId="0" applyAlignment="1" applyBorder="1" applyFont="1" applyNumberFormat="1">
      <alignment horizontal="center"/>
    </xf>
    <xf borderId="1" fillId="3" fontId="29" numFmtId="0" xfId="0" applyAlignment="1" applyBorder="1" applyFont="1">
      <alignment horizontal="center" readingOrder="0" shrinkToFit="0" vertical="center" wrapText="1"/>
    </xf>
    <xf borderId="1" fillId="3" fontId="8" numFmtId="0" xfId="0" applyAlignment="1" applyBorder="1" applyFont="1">
      <alignment horizontal="center" readingOrder="0" shrinkToFit="0" vertical="center" wrapText="1"/>
    </xf>
    <xf borderId="1" fillId="3" fontId="8" numFmtId="4" xfId="0" applyAlignment="1" applyBorder="1" applyFont="1" applyNumberFormat="1">
      <alignment horizontal="center" readingOrder="0" shrinkToFit="0" vertical="center" wrapText="1"/>
    </xf>
    <xf borderId="1" fillId="3" fontId="16" numFmtId="0" xfId="0" applyAlignment="1" applyBorder="1" applyFont="1">
      <alignment horizontal="center" readingOrder="0" vertical="center"/>
    </xf>
    <xf borderId="1" fillId="4" fontId="8" numFmtId="4" xfId="0" applyAlignment="1" applyBorder="1" applyFont="1" applyNumberFormat="1">
      <alignment horizontal="center" readingOrder="0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4" fontId="8" numFmtId="0" xfId="0" applyAlignment="1" applyBorder="1" applyFont="1">
      <alignment horizontal="center" readingOrder="0" shrinkToFit="0" vertical="center" wrapText="1"/>
    </xf>
    <xf borderId="1" fillId="4" fontId="16" numFmtId="0" xfId="0" applyAlignment="1" applyBorder="1" applyFont="1">
      <alignment horizontal="center" readingOrder="0" vertical="center"/>
    </xf>
    <xf borderId="1" fillId="4" fontId="30" numFmtId="166" xfId="0" applyAlignment="1" applyBorder="1" applyFont="1" applyNumberFormat="1">
      <alignment horizontal="center" readingOrder="0" shrinkToFit="0" vertical="center" wrapText="1"/>
    </xf>
    <xf borderId="1" fillId="0" fontId="16" numFmtId="0" xfId="0" applyAlignment="1" applyBorder="1" applyFont="1">
      <alignment horizontal="center" readingOrder="0" vertical="center"/>
    </xf>
    <xf borderId="1" fillId="4" fontId="16" numFmtId="9" xfId="0" applyAlignment="1" applyBorder="1" applyFont="1" applyNumberFormat="1">
      <alignment horizontal="center" readingOrder="0" vertical="center"/>
    </xf>
    <xf borderId="1" fillId="4" fontId="30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ijsEQFRN-ab7KfMqEozCDT_eu0gPM3tE/view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QMyyY1ec0lKxtr2BqPBsgdb-dBXf5Z3U/view?usp=sharing" TargetMode="External"/><Relationship Id="rId42" Type="http://schemas.openxmlformats.org/officeDocument/2006/relationships/hyperlink" Target="https://drive.google.com/file/d/1mt7aUuzWQJNmbtt7yHXcq41xu1DT7c_q/view?usp=sharing" TargetMode="External"/><Relationship Id="rId41" Type="http://schemas.openxmlformats.org/officeDocument/2006/relationships/hyperlink" Target="https://drive.google.com/file/d/1C2EhC0e1_eLdoEIVmvcoJKjNPZ4loD2Y/view?usp=sharing" TargetMode="External"/><Relationship Id="rId44" Type="http://schemas.openxmlformats.org/officeDocument/2006/relationships/hyperlink" Target="https://drive.google.com/file/d/1zSRK5rqbF9gLrtJ4J2E5geYMQumcbt7Y/view?usp=sharing" TargetMode="External"/><Relationship Id="rId43" Type="http://schemas.openxmlformats.org/officeDocument/2006/relationships/hyperlink" Target="https://drive.google.com/file/d/1mt7aUuzWQJNmbtt7yHXcq41xu1DT7c_q/view?usp=sharing" TargetMode="External"/><Relationship Id="rId46" Type="http://schemas.openxmlformats.org/officeDocument/2006/relationships/hyperlink" Target="https://drive.google.com/file/d/1vpGUfOBkSnUXZ1D8Do3BgWFC_fgN2jQZ/view?usp=sharing" TargetMode="External"/><Relationship Id="rId45" Type="http://schemas.openxmlformats.org/officeDocument/2006/relationships/hyperlink" Target="https://drive.google.com/file/d/1Vbpbz5bEmB2-x76p5DusOtFbNm29Ce0-/view?usp=sharing" TargetMode="External"/><Relationship Id="rId1" Type="http://schemas.openxmlformats.org/officeDocument/2006/relationships/hyperlink" Target="https://drive.google.com/file/d/1uT_LCBaypvV-j2KggO6L0jb0mh7f4R7y/view?usp=sharing" TargetMode="External"/><Relationship Id="rId2" Type="http://schemas.openxmlformats.org/officeDocument/2006/relationships/hyperlink" Target="https://drive.google.com/file/d/1yPZPILjLstASR4PaLYKyu25ZXzuhSobL/view?usp=sharing" TargetMode="External"/><Relationship Id="rId3" Type="http://schemas.openxmlformats.org/officeDocument/2006/relationships/hyperlink" Target="https://drive.google.com/file/d/16H1-dkEOFWaTWlEFtnFTr0BPoetuM18i/view?usp=sharing" TargetMode="External"/><Relationship Id="rId4" Type="http://schemas.openxmlformats.org/officeDocument/2006/relationships/hyperlink" Target="https://drive.google.com/file/d/1KZsmj1bhQbH3nW15F4YGtcUJ2uf46Mqb/view?usp=sharing" TargetMode="External"/><Relationship Id="rId9" Type="http://schemas.openxmlformats.org/officeDocument/2006/relationships/hyperlink" Target="https://drive.google.com/file/d/1ZzUb-hy5oQqSEL20rJR_QxLD6ZXsACmU/view?usp=sharing" TargetMode="External"/><Relationship Id="rId48" Type="http://schemas.openxmlformats.org/officeDocument/2006/relationships/hyperlink" Target="https://drive.google.com/file/d/1QPQqY2fbJrHfEZonh6UrATBnEHspOze8/view?usp=sharing" TargetMode="External"/><Relationship Id="rId47" Type="http://schemas.openxmlformats.org/officeDocument/2006/relationships/hyperlink" Target="https://drive.google.com/file/d/1Why9m7nFKJEtIpznjEjji8WBaXrvL13e/view?usp=sharing" TargetMode="External"/><Relationship Id="rId49" Type="http://schemas.openxmlformats.org/officeDocument/2006/relationships/hyperlink" Target="https://drive.google.com/file/d/1ncEvkgVLS5xWGGohCsd3pgfpo-2eI9Sn/view?usp=sharing" TargetMode="External"/><Relationship Id="rId5" Type="http://schemas.openxmlformats.org/officeDocument/2006/relationships/hyperlink" Target="https://drive.google.com/file/d/1Scl-2quyI62oKKHuuzcPnlWEkAqKz7dn/view?usp=sharing" TargetMode="External"/><Relationship Id="rId6" Type="http://schemas.openxmlformats.org/officeDocument/2006/relationships/hyperlink" Target="https://drive.google.com/file/d/1vSGOTe0g5jQ_gOQNIKescmknOxlY53y3/view?usp=sharing" TargetMode="External"/><Relationship Id="rId7" Type="http://schemas.openxmlformats.org/officeDocument/2006/relationships/hyperlink" Target="https://drive.google.com/file/d/14E4fLQfOZIOL7Q1FV6P7_DkphBQUiGf0/view?usp=sharing" TargetMode="External"/><Relationship Id="rId8" Type="http://schemas.openxmlformats.org/officeDocument/2006/relationships/hyperlink" Target="https://drive.google.com/file/d/1S7uA88Lxb6DUPnALKZemL0d2waLGbvoO/view?usp=sharing" TargetMode="External"/><Relationship Id="rId31" Type="http://schemas.openxmlformats.org/officeDocument/2006/relationships/hyperlink" Target="https://drive.google.com/file/d/1P-3hmC5Ps6WaAx_QjVAWRyzNLQluLD0Z/view?usp=sharing" TargetMode="External"/><Relationship Id="rId30" Type="http://schemas.openxmlformats.org/officeDocument/2006/relationships/hyperlink" Target="https://drive.google.com/file/d/1cRqplfHlzfG7ix7LtkyTeSND4JQ1TqcI/view?usp=sharing" TargetMode="External"/><Relationship Id="rId33" Type="http://schemas.openxmlformats.org/officeDocument/2006/relationships/hyperlink" Target="https://drive.google.com/file/d/18il2gIhHbHcVBc9syMiYjXzSuQCU80cn/view?usp=sharing" TargetMode="External"/><Relationship Id="rId32" Type="http://schemas.openxmlformats.org/officeDocument/2006/relationships/hyperlink" Target="https://drive.google.com/file/d/1pL4Z3XoZ5K3mHXRtInDhpqMa1SgSGqpf/view?usp=sharing" TargetMode="External"/><Relationship Id="rId35" Type="http://schemas.openxmlformats.org/officeDocument/2006/relationships/hyperlink" Target="https://drive.google.com/file/d/1xpYVNg8igOZNdWgSSoT8A06TO9n5bkpt/view?usp=sharing" TargetMode="External"/><Relationship Id="rId34" Type="http://schemas.openxmlformats.org/officeDocument/2006/relationships/hyperlink" Target="https://drive.google.com/file/d/1BEXJZZ0PNXU8plcm3rmuEkeU-LK5MYHm/view?usp=sharing" TargetMode="External"/><Relationship Id="rId37" Type="http://schemas.openxmlformats.org/officeDocument/2006/relationships/hyperlink" Target="https://drive.google.com/file/d/1p8qy-rt_tuG56t-Bt0kU1sIGgM7u47Os/view?usp=sharing" TargetMode="External"/><Relationship Id="rId36" Type="http://schemas.openxmlformats.org/officeDocument/2006/relationships/hyperlink" Target="https://drive.google.com/file/d/1S3LcFAD7L26GrklIrbCBu1z_QvJ-88t8/view?usp=sharing" TargetMode="External"/><Relationship Id="rId39" Type="http://schemas.openxmlformats.org/officeDocument/2006/relationships/hyperlink" Target="https://drive.google.com/file/d/1USMT0hGJWDIhpfdplmHVCSlmmkrfLRXl/view?usp=sharing" TargetMode="External"/><Relationship Id="rId38" Type="http://schemas.openxmlformats.org/officeDocument/2006/relationships/hyperlink" Target="https://drive.google.com/file/d/1Gr3Rjxbq7p9NMH3PdB-ff8UiOaNhDNDU/view?usp=sharing" TargetMode="External"/><Relationship Id="rId20" Type="http://schemas.openxmlformats.org/officeDocument/2006/relationships/hyperlink" Target="https://drive.google.com/file/d/1JBgBx9cwoXyN2H4pPpsgU3YhJS4HYtwU/view?usp=sharing" TargetMode="External"/><Relationship Id="rId22" Type="http://schemas.openxmlformats.org/officeDocument/2006/relationships/hyperlink" Target="https://drive.google.com/file/d/1xvSec3TwX_1J3JgmlWb7IUE_D_dFetjN/view?usp=sharing" TargetMode="External"/><Relationship Id="rId21" Type="http://schemas.openxmlformats.org/officeDocument/2006/relationships/hyperlink" Target="https://drive.google.com/file/d/1p34fRQhknErUdrBpDGcrC0FRkRysiCpQ/view?usp=sharing" TargetMode="External"/><Relationship Id="rId24" Type="http://schemas.openxmlformats.org/officeDocument/2006/relationships/hyperlink" Target="https://drive.google.com/file/d/1UYS-W1pBjrKBIrzWNOfxzwgi40-QHoAc/view?usp=sharing" TargetMode="External"/><Relationship Id="rId23" Type="http://schemas.openxmlformats.org/officeDocument/2006/relationships/hyperlink" Target="https://drive.google.com/file/d/15hUXiypA1lpxXyG5YvQGzvXa7fM7U4WT/view?usp=sharing" TargetMode="External"/><Relationship Id="rId26" Type="http://schemas.openxmlformats.org/officeDocument/2006/relationships/hyperlink" Target="https://drive.google.com/file/d/1KoYkPkWORpYOPBCBx32pBw0Y_L3rxwYb/view?usp=sharing" TargetMode="External"/><Relationship Id="rId25" Type="http://schemas.openxmlformats.org/officeDocument/2006/relationships/hyperlink" Target="https://drive.google.com/file/d/15Q7zAWBzPMDAOsplk_oCxDJ97H-ZRua6/view?usp=sharing" TargetMode="External"/><Relationship Id="rId28" Type="http://schemas.openxmlformats.org/officeDocument/2006/relationships/hyperlink" Target="https://drive.google.com/file/d/1fDfw5Jigt8GJsrvBUkY9AyFpKB066oIR/view?usp=sharing" TargetMode="External"/><Relationship Id="rId27" Type="http://schemas.openxmlformats.org/officeDocument/2006/relationships/hyperlink" Target="https://drive.google.com/file/d/1SpYXuegfW8igrH0vifaHxeq3JdiZhFBs/view?usp=sharing" TargetMode="External"/><Relationship Id="rId29" Type="http://schemas.openxmlformats.org/officeDocument/2006/relationships/hyperlink" Target="https://drive.google.com/file/d/1vpY9I55XMmnuaNWTINNlW7GqLBq-kBhI/view?usp=sharing" TargetMode="External"/><Relationship Id="rId51" Type="http://schemas.openxmlformats.org/officeDocument/2006/relationships/hyperlink" Target="https://drive.google.com/file/d/1mn2zuhV833AyCDZyS8kVdBZGfOdRqoXE/view?usp=sharing" TargetMode="External"/><Relationship Id="rId50" Type="http://schemas.openxmlformats.org/officeDocument/2006/relationships/hyperlink" Target="https://drive.google.com/file/d/12xaXfadqonSL5y_VgupWWfvFifPP33xE/view?usp=sharing" TargetMode="External"/><Relationship Id="rId53" Type="http://schemas.openxmlformats.org/officeDocument/2006/relationships/hyperlink" Target="https://drive.google.com/file/d/1VAeMHh5nx7NlFZej1CElUo2Z-MBqqG9z/view?usp=sharing" TargetMode="External"/><Relationship Id="rId52" Type="http://schemas.openxmlformats.org/officeDocument/2006/relationships/hyperlink" Target="https://drive.google.com/file/d/12hpChNCEhPfHkzEdbY0oNu-Mv38XmIZd/view?usp=sharing" TargetMode="External"/><Relationship Id="rId11" Type="http://schemas.openxmlformats.org/officeDocument/2006/relationships/hyperlink" Target="https://drive.google.com/file/d/1Li9YjrJ8zTaWlWQY1-OIHQQ8Lw6_0P8k/view?usp=sharing" TargetMode="External"/><Relationship Id="rId55" Type="http://schemas.openxmlformats.org/officeDocument/2006/relationships/hyperlink" Target="https://drive.google.com/file/d/1FyNGbgA1N8c_jqUcZRIyva7F3Buj7vfZ/view?usp=sharing" TargetMode="External"/><Relationship Id="rId10" Type="http://schemas.openxmlformats.org/officeDocument/2006/relationships/hyperlink" Target="https://drive.google.com/file/d/1-tSVye8j6ouphlkMVFh6YiQ4gx8WhKrt/view?usp=sharing" TargetMode="External"/><Relationship Id="rId54" Type="http://schemas.openxmlformats.org/officeDocument/2006/relationships/hyperlink" Target="https://drive.google.com/file/d/1KDI6iyPIBm2WbQfnv0Jz4Ksh_hnzgEkh/view?usp=sharing" TargetMode="External"/><Relationship Id="rId13" Type="http://schemas.openxmlformats.org/officeDocument/2006/relationships/hyperlink" Target="https://drive.google.com/file/d/1ZnHXbts9p3kh8YkUL9E3quYhAxkaequj/view?usp=sharing" TargetMode="External"/><Relationship Id="rId57" Type="http://schemas.openxmlformats.org/officeDocument/2006/relationships/hyperlink" Target="https://drive.google.com/file/d/1BBgNtuJj3PCTbcRQLa3Qu0dvy_v1ph_C/view?usp=sharing" TargetMode="External"/><Relationship Id="rId12" Type="http://schemas.openxmlformats.org/officeDocument/2006/relationships/hyperlink" Target="https://drive.google.com/file/d/1yU_73f5QyDBct-7CVF97sj4OTtewDPWU/view?usp=sharing" TargetMode="External"/><Relationship Id="rId56" Type="http://schemas.openxmlformats.org/officeDocument/2006/relationships/hyperlink" Target="https://drive.google.com/file/d/1qwaUP8alDkNYH6v1fxJeLmD15Z3YvgLx/view?usp=sharing" TargetMode="External"/><Relationship Id="rId15" Type="http://schemas.openxmlformats.org/officeDocument/2006/relationships/hyperlink" Target="https://drive.google.com/file/d/1tG517ChTB5ozCWDz11hMFhCfb86sbEQH/view?usp=sharing" TargetMode="External"/><Relationship Id="rId59" Type="http://schemas.openxmlformats.org/officeDocument/2006/relationships/drawing" Target="../drawings/drawing3.xml"/><Relationship Id="rId14" Type="http://schemas.openxmlformats.org/officeDocument/2006/relationships/hyperlink" Target="https://drive.google.com/file/d/1qYBy6Pku70wZYntvbGl2Lc7j-0dMdpBc/view?usp=sharing" TargetMode="External"/><Relationship Id="rId58" Type="http://schemas.openxmlformats.org/officeDocument/2006/relationships/hyperlink" Target="https://drive.google.com/file/d/1ZeC1XzzSsWfw7_2Z25vPAiCQL1QgRkkj/view?usp=sharing" TargetMode="External"/><Relationship Id="rId17" Type="http://schemas.openxmlformats.org/officeDocument/2006/relationships/hyperlink" Target="https://drive.google.com/file/d/1RqY4OWOeU_dvAsFUE7v772PlAT7LlXXD/view?usp=sharing" TargetMode="External"/><Relationship Id="rId16" Type="http://schemas.openxmlformats.org/officeDocument/2006/relationships/hyperlink" Target="https://drive.google.com/file/d/1AIsqgZXaqf0jKRStFdsPQv4splIJgR-t/view?usp=sharing" TargetMode="External"/><Relationship Id="rId19" Type="http://schemas.openxmlformats.org/officeDocument/2006/relationships/hyperlink" Target="https://drive.google.com/file/d/1b28n7_7xQVWItkKpNpCCU6zhi7tLETtA/view?usp=sharing" TargetMode="External"/><Relationship Id="rId18" Type="http://schemas.openxmlformats.org/officeDocument/2006/relationships/hyperlink" Target="https://drive.google.com/file/d/1b28n7_7xQVWItkKpNpCCU6zhi7tLETtA/view?usp=sharin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U0mY7UvKLBwol683bz7837mmf8rneuVB/view?usp=sharing" TargetMode="External"/><Relationship Id="rId42" Type="http://schemas.openxmlformats.org/officeDocument/2006/relationships/hyperlink" Target="https://drive.google.com/file/d/1lVIfcvtcN-dckp3w0LnG5ykSDdbHSq9E/view?usp=sharing" TargetMode="External"/><Relationship Id="rId41" Type="http://schemas.openxmlformats.org/officeDocument/2006/relationships/hyperlink" Target="https://drive.google.com/file/d/1GiOjUbI0YTPdWVvHDue6XxG5twxVVJ6w/view?usp=sharing" TargetMode="External"/><Relationship Id="rId44" Type="http://schemas.openxmlformats.org/officeDocument/2006/relationships/hyperlink" Target="https://drive.google.com/file/d/1H0PKRYq3BwBFAU0kBggYbxoR02ydIIPe/view?usp=sharing" TargetMode="External"/><Relationship Id="rId43" Type="http://schemas.openxmlformats.org/officeDocument/2006/relationships/hyperlink" Target="https://drive.google.com/file/d/1q4PDEypgxVdsnTiWrTvBuk-uRiIE8DTE/view?usp=sharing" TargetMode="External"/><Relationship Id="rId46" Type="http://schemas.openxmlformats.org/officeDocument/2006/relationships/hyperlink" Target="https://drive.google.com/file/d/1rbaXDXgmA_hystznUJ2MEKXccElat2FB/view?usp=sharing" TargetMode="External"/><Relationship Id="rId45" Type="http://schemas.openxmlformats.org/officeDocument/2006/relationships/hyperlink" Target="https://drive.google.com/file/d/17BRz1_NURp-fWgAJBb92UQ2zxDG07w5E/view?usp=sharing" TargetMode="External"/><Relationship Id="rId1" Type="http://schemas.openxmlformats.org/officeDocument/2006/relationships/hyperlink" Target="https://drive.google.com/file/d/17woetkk609xAeXYKWqnqDYMDhyUy-s_b/view?usp=sharing" TargetMode="External"/><Relationship Id="rId2" Type="http://schemas.openxmlformats.org/officeDocument/2006/relationships/hyperlink" Target="https://drive.google.com/file/d/1kpUZ7IoDC7lqicCL7Vb8-875yVEXs9W5/view?usp=sharing" TargetMode="External"/><Relationship Id="rId3" Type="http://schemas.openxmlformats.org/officeDocument/2006/relationships/hyperlink" Target="https://drive.google.com/file/d/1VLJmFUnOVjIrviC1rzlKwgkryBturXgI/view?usp=sharing" TargetMode="External"/><Relationship Id="rId4" Type="http://schemas.openxmlformats.org/officeDocument/2006/relationships/hyperlink" Target="https://drive.google.com/file/d/1T2ctTNPzuXIfOsZS90UhvP5RSxCOmChz/view?usp=sharing" TargetMode="External"/><Relationship Id="rId9" Type="http://schemas.openxmlformats.org/officeDocument/2006/relationships/hyperlink" Target="https://drive.google.com/file/d/1BBHyD5DNcinKDAh5g-6aa8Ca-2LLH6Py/view?usp=sharing" TargetMode="External"/><Relationship Id="rId48" Type="http://schemas.openxmlformats.org/officeDocument/2006/relationships/hyperlink" Target="https://drive.google.com/file/d/1II_R7hH0IPn-PT8Q3JBm3_vkaEi79stT/view?usp=sharing" TargetMode="External"/><Relationship Id="rId47" Type="http://schemas.openxmlformats.org/officeDocument/2006/relationships/hyperlink" Target="https://drive.google.com/file/d/1CFMCzY5fYDJw-o2w75BUmNWbtib0VsSp/view?usp=sharing" TargetMode="External"/><Relationship Id="rId49" Type="http://schemas.openxmlformats.org/officeDocument/2006/relationships/hyperlink" Target="https://drive.google.com/file/d/1gSBXauP6fCdsz-G-ErqoBLFYO6NNDGog/view?usp=sharing" TargetMode="External"/><Relationship Id="rId5" Type="http://schemas.openxmlformats.org/officeDocument/2006/relationships/hyperlink" Target="https://drive.google.com/file/d/1grzopCk-dw2-jI1TPNT02n7U94jrFv8n/view?usp=sharing" TargetMode="External"/><Relationship Id="rId6" Type="http://schemas.openxmlformats.org/officeDocument/2006/relationships/hyperlink" Target="https://drive.google.com/file/d/1-3fxnSgXO1RJ75O4SusLLqnfR6jbyjz6/view?usp=sharing" TargetMode="External"/><Relationship Id="rId7" Type="http://schemas.openxmlformats.org/officeDocument/2006/relationships/hyperlink" Target="https://drive.google.com/file/d/1NbqeopPLNF0Gm7el9-eNE1b8BNZTMxOM/view?usp=sharing" TargetMode="External"/><Relationship Id="rId8" Type="http://schemas.openxmlformats.org/officeDocument/2006/relationships/hyperlink" Target="https://drive.google.com/file/d/1F2ajCR8SBxsrVh8uV4JoV37nPhUdulLW/view?usp=sharing" TargetMode="External"/><Relationship Id="rId31" Type="http://schemas.openxmlformats.org/officeDocument/2006/relationships/hyperlink" Target="https://drive.google.com/file/d/1EFwSBZk01MGt_3gCNiTm0k02wdxzNURQ/view?usp=sharing" TargetMode="External"/><Relationship Id="rId30" Type="http://schemas.openxmlformats.org/officeDocument/2006/relationships/hyperlink" Target="https://drive.google.com/file/d/1c2d8iW7_w970US3kUM11MWrBdBzVUtzU/view?usp=sharing" TargetMode="External"/><Relationship Id="rId33" Type="http://schemas.openxmlformats.org/officeDocument/2006/relationships/hyperlink" Target="https://drive.google.com/file/d/1zu6ebJSZlw0_nWVjG_n-IdOk5O_OU4h5/view?usp=sharing" TargetMode="External"/><Relationship Id="rId32" Type="http://schemas.openxmlformats.org/officeDocument/2006/relationships/hyperlink" Target="https://drive.google.com/file/d/1qtOKjbLHBXfsCn20bibDvNYkBrk1gzin/view?usp=sharing" TargetMode="External"/><Relationship Id="rId35" Type="http://schemas.openxmlformats.org/officeDocument/2006/relationships/hyperlink" Target="https://drive.google.com/file/d/1Vz3fijVJlqFejxZBssVRQzew0uvJJn-D/view?usp=sharing" TargetMode="External"/><Relationship Id="rId34" Type="http://schemas.openxmlformats.org/officeDocument/2006/relationships/hyperlink" Target="https://drive.google.com/file/d/1Gm-yzfuLWVNMzwWs1foRPUXv6IY8tkIH/view?usp=sharing" TargetMode="External"/><Relationship Id="rId37" Type="http://schemas.openxmlformats.org/officeDocument/2006/relationships/hyperlink" Target="https://drive.google.com/file/d/1Wc_yGBcGQ0SxG2kkVfa-HAWLldoOk6YL/view?usp=sharing" TargetMode="External"/><Relationship Id="rId36" Type="http://schemas.openxmlformats.org/officeDocument/2006/relationships/hyperlink" Target="https://drive.google.com/file/d/1jwB8_9cibnPmtzNG9Cu2ieNoSBbtWlDt/view?usp=sharing" TargetMode="External"/><Relationship Id="rId39" Type="http://schemas.openxmlformats.org/officeDocument/2006/relationships/hyperlink" Target="https://drive.google.com/file/d/16BQ1yX4gg3tTEZxf7a9OMUr8jlEO3djc/view?usp=sharing" TargetMode="External"/><Relationship Id="rId38" Type="http://schemas.openxmlformats.org/officeDocument/2006/relationships/hyperlink" Target="https://drive.google.com/file/d/1qCwQL7Nu8EV2FKJEtGK0diJNEngnpLEl/view?usp=sharing" TargetMode="External"/><Relationship Id="rId61" Type="http://schemas.openxmlformats.org/officeDocument/2006/relationships/drawing" Target="../drawings/drawing6.xml"/><Relationship Id="rId20" Type="http://schemas.openxmlformats.org/officeDocument/2006/relationships/hyperlink" Target="https://drive.google.com/file/d/1e0BmdmhT-Xu5NYMrmaVPBFphS87MZ--F/view?usp=sharing" TargetMode="External"/><Relationship Id="rId22" Type="http://schemas.openxmlformats.org/officeDocument/2006/relationships/hyperlink" Target="https://drive.google.com/file/d/15JdV95FSJVvp75Zb_JZRuwlC4v1Q2vzl/view?usp=sharing" TargetMode="External"/><Relationship Id="rId21" Type="http://schemas.openxmlformats.org/officeDocument/2006/relationships/hyperlink" Target="https://drive.google.com/file/d/1MFqCdYAXWy2uj2cZtHhz7yUrK81EC0cw/view?usp=sharing" TargetMode="External"/><Relationship Id="rId24" Type="http://schemas.openxmlformats.org/officeDocument/2006/relationships/hyperlink" Target="https://drive.google.com/file/d/13tNkktc8Q834uLp_Qwy0gaF01huhhw6n/view?usp=sharing" TargetMode="External"/><Relationship Id="rId23" Type="http://schemas.openxmlformats.org/officeDocument/2006/relationships/hyperlink" Target="https://drive.google.com/file/d/1LGOOhXJUo4XIUvOay1Fj5eUuRvc8auQ8/view?usp=sharing" TargetMode="External"/><Relationship Id="rId60" Type="http://schemas.openxmlformats.org/officeDocument/2006/relationships/hyperlink" Target="https://drive.google.com/file/d/13dcTyWFia4K_r2P1pUxxUyO5MGqK62iS/view?usp=sharing" TargetMode="External"/><Relationship Id="rId26" Type="http://schemas.openxmlformats.org/officeDocument/2006/relationships/hyperlink" Target="https://drive.google.com/file/d/1Pg4rKVsO4hH8y07ARR9csMetO55PvrT5/view?usp=sharing" TargetMode="External"/><Relationship Id="rId25" Type="http://schemas.openxmlformats.org/officeDocument/2006/relationships/hyperlink" Target="https://drive.google.com/file/d/1v8pl71EdMSC2rAlnQic2ftWqXfWIls4v/view?usp=sharing" TargetMode="External"/><Relationship Id="rId28" Type="http://schemas.openxmlformats.org/officeDocument/2006/relationships/hyperlink" Target="https://drive.google.com/file/d/1xdk6E7Tf42F9kyfANRuvJIzTZFMzFyL9/view?usp=sharing" TargetMode="External"/><Relationship Id="rId27" Type="http://schemas.openxmlformats.org/officeDocument/2006/relationships/hyperlink" Target="https://drive.google.com/file/d/1XH3ohezgp5-0EiG47Hu3DaR4tm3y3u8k/view?usp=sharing" TargetMode="External"/><Relationship Id="rId29" Type="http://schemas.openxmlformats.org/officeDocument/2006/relationships/hyperlink" Target="https://drive.google.com/file/d/1ySUW0qNqV-4LPrN7z3_sX6bQty1T6zd6/view?usp=sharing" TargetMode="External"/><Relationship Id="rId51" Type="http://schemas.openxmlformats.org/officeDocument/2006/relationships/hyperlink" Target="https://drive.google.com/file/d/1cAcIrv_zLcVw7iMb91a7TB22iSQpZv2T/view?usp=sharing" TargetMode="External"/><Relationship Id="rId50" Type="http://schemas.openxmlformats.org/officeDocument/2006/relationships/hyperlink" Target="https://drive.google.com/file/d/1JFhJHfomsXaEVKKWzzQA76SgXhBzQbSJ/view?usp=sharing" TargetMode="External"/><Relationship Id="rId53" Type="http://schemas.openxmlformats.org/officeDocument/2006/relationships/hyperlink" Target="https://drive.google.com/file/d/1mYoihOojo_liXIwXuJopBeXmqEwNskQJ/view?usp=sharing" TargetMode="External"/><Relationship Id="rId52" Type="http://schemas.openxmlformats.org/officeDocument/2006/relationships/hyperlink" Target="https://drive.google.com/file/d/19gTa-MW1lFuxkFNJQpc_PdI0rZeS0Tdr/view?usp=sharing" TargetMode="External"/><Relationship Id="rId11" Type="http://schemas.openxmlformats.org/officeDocument/2006/relationships/hyperlink" Target="https://drive.google.com/file/d/1Ve2Qi_x4taZWtjCCWFzNxBQpbqzZyGzL/view?usp=sharing" TargetMode="External"/><Relationship Id="rId55" Type="http://schemas.openxmlformats.org/officeDocument/2006/relationships/hyperlink" Target="https://drive.google.com/file/d/1JhCvw-4beJrW_Y157f0sNKFdI478pRj_/view?usp=sharing" TargetMode="External"/><Relationship Id="rId10" Type="http://schemas.openxmlformats.org/officeDocument/2006/relationships/hyperlink" Target="https://drive.google.com/file/d/1Coq1V3PwwKxjpjbOr0b9_NpaP0y_vwan/view?usp=sharing" TargetMode="External"/><Relationship Id="rId54" Type="http://schemas.openxmlformats.org/officeDocument/2006/relationships/hyperlink" Target="https://drive.google.com/file/d/1LqsuKHyVbWeKQJ_-zxx9a3Vr4-MH96eq/view?usp=sharing" TargetMode="External"/><Relationship Id="rId13" Type="http://schemas.openxmlformats.org/officeDocument/2006/relationships/hyperlink" Target="https://drive.google.com/file/d/1S3s7P-0cXT7a-gSAQ-WsFp2n1UkjAxNV/view?usp=sharing" TargetMode="External"/><Relationship Id="rId57" Type="http://schemas.openxmlformats.org/officeDocument/2006/relationships/hyperlink" Target="https://drive.google.com/file/d/1zGkipWKpWAYIVR3NMXUEYOi1NG5dXENx/view?usp=sharing" TargetMode="External"/><Relationship Id="rId12" Type="http://schemas.openxmlformats.org/officeDocument/2006/relationships/hyperlink" Target="https://drive.google.com/file/d/1z4OAcGyYzGacTD2a3WAzmyFOPHIe-vY2/view?usp=sharing" TargetMode="External"/><Relationship Id="rId56" Type="http://schemas.openxmlformats.org/officeDocument/2006/relationships/hyperlink" Target="https://drive.google.com/file/d/1cGu2o5IZrFI99BJVVc1P67k8eEPCgVn4/view?usp=sharing" TargetMode="External"/><Relationship Id="rId15" Type="http://schemas.openxmlformats.org/officeDocument/2006/relationships/hyperlink" Target="https://drive.google.com/file/d/1-nWraF--4vZYIRlALRZVKQJneYYWqGov/view?usp=sharing" TargetMode="External"/><Relationship Id="rId59" Type="http://schemas.openxmlformats.org/officeDocument/2006/relationships/hyperlink" Target="https://drive.google.com/file/d/126ZmHSru0-GprwTPiaCEUqzboXPLkucz/view?usp=sharing" TargetMode="External"/><Relationship Id="rId14" Type="http://schemas.openxmlformats.org/officeDocument/2006/relationships/hyperlink" Target="https://drive.google.com/file/d/1D0hHS-DmFeNNXOPICLcdkQUsRJueWPz9/view?usp=sharing" TargetMode="External"/><Relationship Id="rId58" Type="http://schemas.openxmlformats.org/officeDocument/2006/relationships/hyperlink" Target="https://drive.google.com/file/d/10UOUgw2XSbuJ7p7JRHBIBgyn2jgSyzKw/view?usp=sharing" TargetMode="External"/><Relationship Id="rId17" Type="http://schemas.openxmlformats.org/officeDocument/2006/relationships/hyperlink" Target="https://drive.google.com/file/d/12YTjSouEQDPY1SlzRVv9X_7gvLsc1IO-/view?usp=sharing" TargetMode="External"/><Relationship Id="rId16" Type="http://schemas.openxmlformats.org/officeDocument/2006/relationships/hyperlink" Target="https://drive.google.com/file/d/10cIUYFkxRcpT-YgQatMmJgdC1gW-mlGQ/view?usp=sharing" TargetMode="External"/><Relationship Id="rId19" Type="http://schemas.openxmlformats.org/officeDocument/2006/relationships/hyperlink" Target="https://drive.google.com/file/d/1nUdsZTCfWQ8z1MD9oyYOffkLyW0qxLl1/view?usp=sharing" TargetMode="External"/><Relationship Id="rId18" Type="http://schemas.openxmlformats.org/officeDocument/2006/relationships/hyperlink" Target="https://drive.google.com/file/d/1bavuVrxkMVU8W4pIw6rer0ZNqmuBKbUB/view?usp=sharing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8.5"/>
    <col customWidth="1" min="3" max="3" width="22.63"/>
    <col customWidth="1" min="4" max="4" width="21.13"/>
    <col customWidth="1" min="5" max="5" width="23.5"/>
    <col customWidth="1" min="6" max="6" width="18.63"/>
    <col customWidth="1" min="7" max="7" width="16.13"/>
    <col customWidth="1" min="8" max="8" width="17.0"/>
    <col customWidth="1" min="9" max="9" width="16.0"/>
    <col customWidth="1" min="10" max="10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4" t="s">
        <v>11</v>
      </c>
      <c r="C2" s="5">
        <v>1702517.62</v>
      </c>
      <c r="D2" s="6" t="s">
        <v>12</v>
      </c>
      <c r="E2" s="5">
        <f t="shared" ref="E2:E8" si="1">ifs(D2=21%,(C2/100*21),D2=12%,(C2/100*12),D2="Režim",0,D2="Zaloha",0)+C2</f>
        <v>1702517.62</v>
      </c>
      <c r="F2" s="5">
        <f>C2-(SUM(C3:C8))</f>
        <v>1002517.62</v>
      </c>
      <c r="G2" s="7">
        <v>45976.0</v>
      </c>
      <c r="H2" s="8"/>
      <c r="I2" s="8"/>
      <c r="J2" s="6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 t="s">
        <v>13</v>
      </c>
      <c r="B3" s="10" t="s">
        <v>11</v>
      </c>
      <c r="C3" s="11">
        <v>700000.0</v>
      </c>
      <c r="D3" s="12" t="s">
        <v>12</v>
      </c>
      <c r="E3" s="11">
        <f t="shared" si="1"/>
        <v>700000</v>
      </c>
      <c r="F3" s="11"/>
      <c r="G3" s="13">
        <v>46007.0</v>
      </c>
      <c r="H3" s="14">
        <v>46021.0</v>
      </c>
      <c r="I3" s="13">
        <v>46021.0</v>
      </c>
      <c r="J3" s="15" t="s">
        <v>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1"/>
      <c r="D4" s="16"/>
      <c r="E4" s="11" t="str">
        <f t="shared" si="1"/>
        <v>#N/A</v>
      </c>
      <c r="F4" s="11"/>
      <c r="G4" s="17"/>
      <c r="H4" s="18"/>
      <c r="I4" s="18"/>
      <c r="J4" s="1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/>
      <c r="B5" s="10"/>
      <c r="C5" s="11"/>
      <c r="D5" s="16"/>
      <c r="E5" s="11" t="str">
        <f t="shared" si="1"/>
        <v>#N/A</v>
      </c>
      <c r="F5" s="11"/>
      <c r="G5" s="17"/>
      <c r="H5" s="18"/>
      <c r="I5" s="18"/>
      <c r="J5" s="1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"/>
      <c r="B6" s="10"/>
      <c r="C6" s="11"/>
      <c r="D6" s="16"/>
      <c r="E6" s="11" t="str">
        <f t="shared" si="1"/>
        <v>#N/A</v>
      </c>
      <c r="F6" s="11"/>
      <c r="G6" s="17"/>
      <c r="H6" s="18"/>
      <c r="I6" s="18"/>
      <c r="J6" s="1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/>
      <c r="B7" s="10"/>
      <c r="C7" s="11"/>
      <c r="D7" s="16"/>
      <c r="E7" s="11" t="str">
        <f t="shared" si="1"/>
        <v>#N/A</v>
      </c>
      <c r="F7" s="11"/>
      <c r="G7" s="17"/>
      <c r="H7" s="18"/>
      <c r="I7" s="18"/>
      <c r="J7" s="15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/>
      <c r="B8" s="10"/>
      <c r="C8" s="11"/>
      <c r="D8" s="16"/>
      <c r="E8" s="11" t="str">
        <f t="shared" si="1"/>
        <v>#N/A</v>
      </c>
      <c r="F8" s="11"/>
      <c r="G8" s="17"/>
      <c r="H8" s="18"/>
      <c r="I8" s="18"/>
      <c r="J8" s="15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9"/>
      <c r="B9" s="19"/>
      <c r="C9" s="19"/>
      <c r="D9" s="19"/>
      <c r="E9" s="19"/>
      <c r="F9" s="19"/>
      <c r="G9" s="1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9"/>
      <c r="B10" s="19"/>
      <c r="C10" s="19"/>
      <c r="D10" s="19"/>
      <c r="E10" s="19"/>
      <c r="F10" s="19"/>
      <c r="G10" s="1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0" t="s">
        <v>14</v>
      </c>
      <c r="B11" s="20" t="s">
        <v>15</v>
      </c>
      <c r="C11" s="20" t="s">
        <v>16</v>
      </c>
      <c r="D11" s="20" t="s">
        <v>17</v>
      </c>
      <c r="E11" s="20" t="s">
        <v>18</v>
      </c>
      <c r="F11" s="20" t="s">
        <v>19</v>
      </c>
      <c r="G11" s="20" t="s">
        <v>17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1" t="s">
        <v>20</v>
      </c>
      <c r="B12" s="21">
        <f>850368+15000</f>
        <v>865368</v>
      </c>
      <c r="C12" s="22">
        <f>F52</f>
        <v>0</v>
      </c>
      <c r="D12" s="22">
        <f>B12-C12</f>
        <v>865368</v>
      </c>
      <c r="E12" s="23">
        <v>837148.95</v>
      </c>
      <c r="F12" s="23">
        <v>0.0</v>
      </c>
      <c r="G12" s="24">
        <f>E12-F12</f>
        <v>837148.95</v>
      </c>
    </row>
    <row r="13">
      <c r="E13" s="25"/>
    </row>
    <row r="15">
      <c r="A15" s="26" t="s">
        <v>21</v>
      </c>
      <c r="B15" s="26" t="s">
        <v>22</v>
      </c>
      <c r="C15" s="26" t="s">
        <v>23</v>
      </c>
      <c r="D15" s="26" t="s">
        <v>24</v>
      </c>
      <c r="E15" s="26" t="s">
        <v>25</v>
      </c>
      <c r="F15" s="26" t="s">
        <v>26</v>
      </c>
    </row>
    <row r="16">
      <c r="A16" s="27"/>
      <c r="B16" s="23"/>
      <c r="C16" s="23"/>
      <c r="D16" s="23"/>
      <c r="E16" s="23"/>
      <c r="F16" s="24">
        <f t="shared" ref="F16:F51" si="2">E16*D16</f>
        <v>0</v>
      </c>
    </row>
    <row r="17">
      <c r="A17" s="24"/>
      <c r="B17" s="24"/>
      <c r="C17" s="23"/>
      <c r="D17" s="23"/>
      <c r="E17" s="23"/>
      <c r="F17" s="24">
        <f t="shared" si="2"/>
        <v>0</v>
      </c>
    </row>
    <row r="18">
      <c r="A18" s="27"/>
      <c r="B18" s="23"/>
      <c r="C18" s="23"/>
      <c r="D18" s="23"/>
      <c r="E18" s="28"/>
      <c r="F18" s="24">
        <f t="shared" si="2"/>
        <v>0</v>
      </c>
    </row>
    <row r="19">
      <c r="A19" s="29"/>
      <c r="B19" s="24"/>
      <c r="C19" s="29"/>
      <c r="D19" s="29"/>
      <c r="E19" s="29"/>
      <c r="F19" s="24">
        <f t="shared" si="2"/>
        <v>0</v>
      </c>
    </row>
    <row r="20">
      <c r="A20" s="29"/>
      <c r="B20" s="24"/>
      <c r="C20" s="29"/>
      <c r="D20" s="29"/>
      <c r="E20" s="29"/>
      <c r="F20" s="24">
        <f t="shared" si="2"/>
        <v>0</v>
      </c>
    </row>
    <row r="21">
      <c r="A21" s="29"/>
      <c r="B21" s="24"/>
      <c r="C21" s="29"/>
      <c r="D21" s="29"/>
      <c r="E21" s="29"/>
      <c r="F21" s="24">
        <f t="shared" si="2"/>
        <v>0</v>
      </c>
    </row>
    <row r="22">
      <c r="A22" s="29"/>
      <c r="B22" s="24"/>
      <c r="C22" s="29"/>
      <c r="D22" s="29"/>
      <c r="E22" s="29"/>
      <c r="F22" s="24">
        <f t="shared" si="2"/>
        <v>0</v>
      </c>
    </row>
    <row r="23">
      <c r="A23" s="29"/>
      <c r="B23" s="24"/>
      <c r="C23" s="29"/>
      <c r="D23" s="29"/>
      <c r="E23" s="29"/>
      <c r="F23" s="24">
        <f t="shared" si="2"/>
        <v>0</v>
      </c>
    </row>
    <row r="24">
      <c r="A24" s="29"/>
      <c r="B24" s="24"/>
      <c r="C24" s="29"/>
      <c r="D24" s="29"/>
      <c r="E24" s="29"/>
      <c r="F24" s="24">
        <f t="shared" si="2"/>
        <v>0</v>
      </c>
    </row>
    <row r="25">
      <c r="A25" s="29"/>
      <c r="B25" s="24"/>
      <c r="C25" s="29"/>
      <c r="D25" s="29"/>
      <c r="E25" s="29"/>
      <c r="F25" s="24">
        <f t="shared" si="2"/>
        <v>0</v>
      </c>
    </row>
    <row r="26">
      <c r="A26" s="29"/>
      <c r="B26" s="24"/>
      <c r="C26" s="29"/>
      <c r="D26" s="29"/>
      <c r="E26" s="29"/>
      <c r="F26" s="24">
        <f t="shared" si="2"/>
        <v>0</v>
      </c>
    </row>
    <row r="27">
      <c r="A27" s="29"/>
      <c r="B27" s="24"/>
      <c r="C27" s="29"/>
      <c r="D27" s="29"/>
      <c r="E27" s="29"/>
      <c r="F27" s="24">
        <f t="shared" si="2"/>
        <v>0</v>
      </c>
    </row>
    <row r="28">
      <c r="A28" s="29"/>
      <c r="B28" s="24"/>
      <c r="C28" s="29"/>
      <c r="D28" s="29"/>
      <c r="E28" s="29"/>
      <c r="F28" s="24">
        <f t="shared" si="2"/>
        <v>0</v>
      </c>
    </row>
    <row r="29">
      <c r="A29" s="29"/>
      <c r="B29" s="24"/>
      <c r="C29" s="29"/>
      <c r="D29" s="29"/>
      <c r="E29" s="29"/>
      <c r="F29" s="24">
        <f t="shared" si="2"/>
        <v>0</v>
      </c>
    </row>
    <row r="30">
      <c r="A30" s="29"/>
      <c r="B30" s="24"/>
      <c r="C30" s="29"/>
      <c r="D30" s="29"/>
      <c r="E30" s="29"/>
      <c r="F30" s="24">
        <f t="shared" si="2"/>
        <v>0</v>
      </c>
    </row>
    <row r="31">
      <c r="A31" s="29"/>
      <c r="B31" s="24"/>
      <c r="C31" s="29"/>
      <c r="D31" s="29"/>
      <c r="E31" s="29"/>
      <c r="F31" s="24">
        <f t="shared" si="2"/>
        <v>0</v>
      </c>
    </row>
    <row r="32">
      <c r="A32" s="29"/>
      <c r="B32" s="24"/>
      <c r="C32" s="29"/>
      <c r="D32" s="29"/>
      <c r="E32" s="29"/>
      <c r="F32" s="24">
        <f t="shared" si="2"/>
        <v>0</v>
      </c>
    </row>
    <row r="33">
      <c r="A33" s="29"/>
      <c r="B33" s="24"/>
      <c r="C33" s="29"/>
      <c r="D33" s="29"/>
      <c r="E33" s="29"/>
      <c r="F33" s="24">
        <f t="shared" si="2"/>
        <v>0</v>
      </c>
    </row>
    <row r="34">
      <c r="A34" s="29"/>
      <c r="B34" s="24"/>
      <c r="C34" s="29"/>
      <c r="D34" s="29"/>
      <c r="E34" s="29"/>
      <c r="F34" s="24">
        <f t="shared" si="2"/>
        <v>0</v>
      </c>
    </row>
    <row r="35">
      <c r="A35" s="29"/>
      <c r="B35" s="24"/>
      <c r="C35" s="29"/>
      <c r="D35" s="29"/>
      <c r="E35" s="29"/>
      <c r="F35" s="24">
        <f t="shared" si="2"/>
        <v>0</v>
      </c>
    </row>
    <row r="36">
      <c r="A36" s="29"/>
      <c r="B36" s="24"/>
      <c r="C36" s="29"/>
      <c r="D36" s="29"/>
      <c r="E36" s="29"/>
      <c r="F36" s="24">
        <f t="shared" si="2"/>
        <v>0</v>
      </c>
    </row>
    <row r="37">
      <c r="A37" s="29"/>
      <c r="B37" s="24"/>
      <c r="C37" s="29"/>
      <c r="D37" s="29"/>
      <c r="E37" s="29"/>
      <c r="F37" s="24">
        <f t="shared" si="2"/>
        <v>0</v>
      </c>
    </row>
    <row r="38">
      <c r="A38" s="29"/>
      <c r="B38" s="24"/>
      <c r="C38" s="29"/>
      <c r="D38" s="29"/>
      <c r="E38" s="29"/>
      <c r="F38" s="24">
        <f t="shared" si="2"/>
        <v>0</v>
      </c>
    </row>
    <row r="39">
      <c r="A39" s="29"/>
      <c r="B39" s="24"/>
      <c r="C39" s="29"/>
      <c r="D39" s="29"/>
      <c r="E39" s="29"/>
      <c r="F39" s="24">
        <f t="shared" si="2"/>
        <v>0</v>
      </c>
    </row>
    <row r="40">
      <c r="A40" s="29"/>
      <c r="B40" s="24"/>
      <c r="C40" s="29"/>
      <c r="D40" s="29"/>
      <c r="E40" s="29"/>
      <c r="F40" s="24">
        <f t="shared" si="2"/>
        <v>0</v>
      </c>
    </row>
    <row r="41">
      <c r="A41" s="29"/>
      <c r="B41" s="24"/>
      <c r="C41" s="29"/>
      <c r="D41" s="29"/>
      <c r="E41" s="29"/>
      <c r="F41" s="24">
        <f t="shared" si="2"/>
        <v>0</v>
      </c>
    </row>
    <row r="42">
      <c r="A42" s="29"/>
      <c r="B42" s="24"/>
      <c r="C42" s="29"/>
      <c r="D42" s="29"/>
      <c r="E42" s="29"/>
      <c r="F42" s="24">
        <f t="shared" si="2"/>
        <v>0</v>
      </c>
    </row>
    <row r="43">
      <c r="A43" s="29"/>
      <c r="B43" s="24"/>
      <c r="C43" s="29"/>
      <c r="D43" s="29"/>
      <c r="E43" s="29"/>
      <c r="F43" s="24">
        <f t="shared" si="2"/>
        <v>0</v>
      </c>
    </row>
    <row r="44">
      <c r="A44" s="29"/>
      <c r="B44" s="24"/>
      <c r="C44" s="29"/>
      <c r="D44" s="29"/>
      <c r="E44" s="29"/>
      <c r="F44" s="24">
        <f t="shared" si="2"/>
        <v>0</v>
      </c>
    </row>
    <row r="45">
      <c r="A45" s="29"/>
      <c r="B45" s="24"/>
      <c r="C45" s="29"/>
      <c r="D45" s="29"/>
      <c r="E45" s="29"/>
      <c r="F45" s="24">
        <f t="shared" si="2"/>
        <v>0</v>
      </c>
    </row>
    <row r="46">
      <c r="A46" s="29"/>
      <c r="B46" s="24"/>
      <c r="C46" s="29"/>
      <c r="D46" s="29"/>
      <c r="E46" s="29"/>
      <c r="F46" s="24">
        <f t="shared" si="2"/>
        <v>0</v>
      </c>
    </row>
    <row r="47">
      <c r="A47" s="29"/>
      <c r="B47" s="24"/>
      <c r="C47" s="29"/>
      <c r="D47" s="29"/>
      <c r="E47" s="29"/>
      <c r="F47" s="24">
        <f t="shared" si="2"/>
        <v>0</v>
      </c>
    </row>
    <row r="48">
      <c r="A48" s="29"/>
      <c r="B48" s="24"/>
      <c r="C48" s="29"/>
      <c r="D48" s="29"/>
      <c r="E48" s="29"/>
      <c r="F48" s="24">
        <f t="shared" si="2"/>
        <v>0</v>
      </c>
    </row>
    <row r="49">
      <c r="A49" s="29"/>
      <c r="B49" s="24"/>
      <c r="C49" s="29"/>
      <c r="D49" s="29"/>
      <c r="E49" s="29"/>
      <c r="F49" s="24">
        <f t="shared" si="2"/>
        <v>0</v>
      </c>
    </row>
    <row r="50">
      <c r="A50" s="29"/>
      <c r="B50" s="24"/>
      <c r="C50" s="29"/>
      <c r="D50" s="29"/>
      <c r="E50" s="29"/>
      <c r="F50" s="24">
        <f t="shared" si="2"/>
        <v>0</v>
      </c>
    </row>
    <row r="51">
      <c r="A51" s="29"/>
      <c r="B51" s="24"/>
      <c r="C51" s="29"/>
      <c r="D51" s="29"/>
      <c r="E51" s="29"/>
      <c r="F51" s="24">
        <f t="shared" si="2"/>
        <v>0</v>
      </c>
    </row>
    <row r="52">
      <c r="A52" s="30" t="s">
        <v>27</v>
      </c>
      <c r="B52" s="31"/>
      <c r="C52" s="31"/>
      <c r="D52" s="31"/>
      <c r="E52" s="32"/>
      <c r="F52" s="33">
        <f>SUM(F16:F24)</f>
        <v>0</v>
      </c>
    </row>
  </sheetData>
  <mergeCells count="1">
    <mergeCell ref="A52:E52"/>
  </mergeCells>
  <dataValidations>
    <dataValidation type="list" allowBlank="1" showErrorMessage="1" sqref="B2:B8">
      <formula1>"ANO,NE"</formula1>
    </dataValidation>
    <dataValidation type="list" allowBlank="1" showErrorMessage="1" sqref="J2:J8">
      <formula1>"Zaplaceno,Po splatností,Vystavená,Zadržené"</formula1>
    </dataValidation>
    <dataValidation type="list" allowBlank="1" showErrorMessage="1" sqref="D2:D8">
      <formula1>"Režim,21%,12%,Zaloha"</formula1>
    </dataValidation>
  </dataValidations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5.38"/>
    <col customWidth="1" min="3" max="3" width="36.38"/>
    <col customWidth="1" min="4" max="4" width="13.63"/>
    <col customWidth="1" min="5" max="5" width="15.38"/>
    <col customWidth="1" min="6" max="6" width="18.63"/>
  </cols>
  <sheetData>
    <row r="1">
      <c r="A1" s="20" t="s">
        <v>14</v>
      </c>
      <c r="B1" s="20" t="s">
        <v>15</v>
      </c>
      <c r="C1" s="20" t="s">
        <v>16</v>
      </c>
      <c r="D1" s="20" t="s">
        <v>17</v>
      </c>
      <c r="E1" s="20" t="s">
        <v>18</v>
      </c>
      <c r="F1" s="20" t="s">
        <v>28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1" t="s">
        <v>29</v>
      </c>
      <c r="B2" s="21"/>
      <c r="C2" s="34">
        <f>F260</f>
        <v>454120.52</v>
      </c>
      <c r="D2" s="22">
        <f>B2-C2</f>
        <v>-454120.52</v>
      </c>
      <c r="E2" s="23"/>
      <c r="F2" s="23">
        <v>387.0</v>
      </c>
    </row>
    <row r="3">
      <c r="A3" s="35"/>
      <c r="B3" s="36" t="s">
        <v>30</v>
      </c>
      <c r="C3" s="37"/>
      <c r="D3" s="35"/>
      <c r="E3" s="38"/>
      <c r="F3" s="38">
        <v>92880.0</v>
      </c>
    </row>
    <row r="4">
      <c r="A4" s="35"/>
      <c r="C4" s="37"/>
      <c r="D4" s="35"/>
      <c r="E4" s="35"/>
    </row>
    <row r="5">
      <c r="A5" s="39" t="s">
        <v>21</v>
      </c>
      <c r="B5" s="39" t="s">
        <v>22</v>
      </c>
      <c r="C5" s="40" t="s">
        <v>23</v>
      </c>
      <c r="D5" s="39" t="s">
        <v>24</v>
      </c>
      <c r="E5" s="39" t="s">
        <v>25</v>
      </c>
      <c r="F5" s="39" t="s">
        <v>26</v>
      </c>
    </row>
    <row r="6">
      <c r="A6" s="41">
        <v>45952.0</v>
      </c>
      <c r="B6" s="42" t="s">
        <v>31</v>
      </c>
      <c r="C6" s="43" t="s">
        <v>32</v>
      </c>
      <c r="D6" s="23">
        <v>10.0</v>
      </c>
      <c r="E6" s="44">
        <v>62.43</v>
      </c>
      <c r="F6" s="45">
        <f t="shared" ref="F6:F259" si="1">E6*D6</f>
        <v>624.3</v>
      </c>
    </row>
    <row r="7">
      <c r="A7" s="46"/>
      <c r="B7" s="47">
        <v>2.5603381E7</v>
      </c>
      <c r="C7" s="43" t="s">
        <v>33</v>
      </c>
      <c r="D7" s="23">
        <v>10.0</v>
      </c>
      <c r="E7" s="44">
        <v>62.09</v>
      </c>
      <c r="F7" s="45">
        <f t="shared" si="1"/>
        <v>620.9</v>
      </c>
    </row>
    <row r="8">
      <c r="A8" s="46"/>
      <c r="B8" s="29"/>
      <c r="C8" s="43" t="s">
        <v>34</v>
      </c>
      <c r="D8" s="23">
        <v>4.0</v>
      </c>
      <c r="E8" s="44">
        <v>980.9</v>
      </c>
      <c r="F8" s="45">
        <f t="shared" si="1"/>
        <v>3923.6</v>
      </c>
    </row>
    <row r="9">
      <c r="A9" s="46"/>
      <c r="B9" s="29"/>
      <c r="C9" s="43" t="s">
        <v>35</v>
      </c>
      <c r="D9" s="23">
        <v>4.0</v>
      </c>
      <c r="E9" s="44">
        <v>159.6</v>
      </c>
      <c r="F9" s="45">
        <f t="shared" si="1"/>
        <v>638.4</v>
      </c>
    </row>
    <row r="10">
      <c r="A10" s="46"/>
      <c r="B10" s="29"/>
      <c r="C10" s="43" t="s">
        <v>36</v>
      </c>
      <c r="D10" s="23">
        <v>2.0</v>
      </c>
      <c r="E10" s="44">
        <v>655.2</v>
      </c>
      <c r="F10" s="45">
        <f t="shared" si="1"/>
        <v>1310.4</v>
      </c>
    </row>
    <row r="11">
      <c r="A11" s="46"/>
      <c r="B11" s="29"/>
      <c r="C11" s="43" t="s">
        <v>37</v>
      </c>
      <c r="D11" s="23">
        <v>3.0</v>
      </c>
      <c r="E11" s="44">
        <v>128.1</v>
      </c>
      <c r="F11" s="45">
        <f t="shared" si="1"/>
        <v>384.3</v>
      </c>
    </row>
    <row r="12">
      <c r="A12" s="46"/>
      <c r="B12" s="29"/>
      <c r="C12" s="43" t="s">
        <v>38</v>
      </c>
      <c r="D12" s="23">
        <v>5.0</v>
      </c>
      <c r="E12" s="44">
        <v>191.8</v>
      </c>
      <c r="F12" s="45">
        <f t="shared" si="1"/>
        <v>959</v>
      </c>
    </row>
    <row r="13">
      <c r="A13" s="46"/>
      <c r="B13" s="29"/>
      <c r="C13" s="43" t="s">
        <v>39</v>
      </c>
      <c r="D13" s="23">
        <v>10.0</v>
      </c>
      <c r="E13" s="44">
        <v>21.7</v>
      </c>
      <c r="F13" s="45">
        <f t="shared" si="1"/>
        <v>217</v>
      </c>
    </row>
    <row r="14">
      <c r="A14" s="46"/>
      <c r="B14" s="29"/>
      <c r="C14" s="43" t="s">
        <v>40</v>
      </c>
      <c r="D14" s="23">
        <v>6.0</v>
      </c>
      <c r="E14" s="44">
        <v>23.1</v>
      </c>
      <c r="F14" s="45">
        <f t="shared" si="1"/>
        <v>138.6</v>
      </c>
    </row>
    <row r="15">
      <c r="A15" s="46"/>
      <c r="B15" s="29"/>
      <c r="C15" s="43" t="s">
        <v>41</v>
      </c>
      <c r="D15" s="23">
        <v>4.0</v>
      </c>
      <c r="E15" s="44">
        <v>12.6</v>
      </c>
      <c r="F15" s="45">
        <f t="shared" si="1"/>
        <v>50.4</v>
      </c>
    </row>
    <row r="16">
      <c r="A16" s="46"/>
      <c r="B16" s="29"/>
      <c r="C16" s="43" t="s">
        <v>42</v>
      </c>
      <c r="D16" s="23">
        <v>10.0</v>
      </c>
      <c r="E16" s="44">
        <v>13.3</v>
      </c>
      <c r="F16" s="45">
        <f t="shared" si="1"/>
        <v>133</v>
      </c>
    </row>
    <row r="17">
      <c r="A17" s="46"/>
      <c r="B17" s="29"/>
      <c r="C17" s="43" t="s">
        <v>43</v>
      </c>
      <c r="D17" s="23">
        <v>2.0</v>
      </c>
      <c r="E17" s="44">
        <v>217.36</v>
      </c>
      <c r="F17" s="45">
        <f t="shared" si="1"/>
        <v>434.72</v>
      </c>
    </row>
    <row r="18">
      <c r="A18" s="46"/>
      <c r="B18" s="29"/>
      <c r="C18" s="43" t="s">
        <v>44</v>
      </c>
      <c r="D18" s="23">
        <v>2.0</v>
      </c>
      <c r="E18" s="44">
        <v>89.68</v>
      </c>
      <c r="F18" s="45">
        <f t="shared" si="1"/>
        <v>179.36</v>
      </c>
    </row>
    <row r="19">
      <c r="A19" s="46"/>
      <c r="B19" s="29"/>
      <c r="C19" s="43" t="s">
        <v>45</v>
      </c>
      <c r="D19" s="23">
        <v>20.0</v>
      </c>
      <c r="E19" s="44">
        <v>69.7</v>
      </c>
      <c r="F19" s="45">
        <f t="shared" si="1"/>
        <v>1394</v>
      </c>
    </row>
    <row r="20">
      <c r="A20" s="46"/>
      <c r="B20" s="29"/>
      <c r="C20" s="43" t="s">
        <v>46</v>
      </c>
      <c r="D20" s="23">
        <v>10.0</v>
      </c>
      <c r="E20" s="44">
        <v>279.0</v>
      </c>
      <c r="F20" s="45">
        <f t="shared" si="1"/>
        <v>2790</v>
      </c>
    </row>
    <row r="21">
      <c r="A21" s="46"/>
      <c r="B21" s="29"/>
      <c r="C21" s="43" t="s">
        <v>47</v>
      </c>
      <c r="D21" s="23">
        <v>2.0</v>
      </c>
      <c r="E21" s="44">
        <v>129.2</v>
      </c>
      <c r="F21" s="45">
        <f t="shared" si="1"/>
        <v>258.4</v>
      </c>
    </row>
    <row r="22">
      <c r="A22" s="46"/>
      <c r="B22" s="29"/>
      <c r="C22" s="43" t="s">
        <v>48</v>
      </c>
      <c r="D22" s="23">
        <v>10.0</v>
      </c>
      <c r="E22" s="44">
        <v>9.88</v>
      </c>
      <c r="F22" s="45">
        <f t="shared" si="1"/>
        <v>98.8</v>
      </c>
    </row>
    <row r="23">
      <c r="A23" s="46"/>
      <c r="B23" s="29"/>
      <c r="C23" s="43" t="s">
        <v>49</v>
      </c>
      <c r="D23" s="23">
        <v>10.0</v>
      </c>
      <c r="E23" s="44">
        <v>9.12</v>
      </c>
      <c r="F23" s="45">
        <f t="shared" si="1"/>
        <v>91.2</v>
      </c>
    </row>
    <row r="24">
      <c r="A24" s="46"/>
      <c r="B24" s="29"/>
      <c r="C24" s="43" t="s">
        <v>50</v>
      </c>
      <c r="D24" s="23">
        <v>100.0</v>
      </c>
      <c r="E24" s="44">
        <v>2.05</v>
      </c>
      <c r="F24" s="45">
        <f t="shared" si="1"/>
        <v>205</v>
      </c>
    </row>
    <row r="25">
      <c r="A25" s="46"/>
      <c r="B25" s="29"/>
      <c r="C25" s="43" t="s">
        <v>51</v>
      </c>
      <c r="D25" s="23">
        <v>50.0</v>
      </c>
      <c r="E25" s="44">
        <v>4.1</v>
      </c>
      <c r="F25" s="45">
        <f t="shared" si="1"/>
        <v>205</v>
      </c>
    </row>
    <row r="26">
      <c r="A26" s="48">
        <v>45950.0</v>
      </c>
      <c r="B26" s="42" t="s">
        <v>31</v>
      </c>
      <c r="C26" s="49" t="s">
        <v>52</v>
      </c>
      <c r="D26" s="50">
        <v>1.0</v>
      </c>
      <c r="E26" s="51">
        <v>30431.4</v>
      </c>
      <c r="F26" s="52">
        <f t="shared" si="1"/>
        <v>30431.4</v>
      </c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>
      <c r="A27" s="48"/>
      <c r="B27" s="47">
        <v>2.5603381E7</v>
      </c>
      <c r="C27" s="54"/>
      <c r="D27" s="55"/>
      <c r="E27" s="56"/>
      <c r="F27" s="45">
        <f t="shared" si="1"/>
        <v>0</v>
      </c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>
      <c r="A28" s="41">
        <v>45947.0</v>
      </c>
      <c r="B28" s="42" t="s">
        <v>31</v>
      </c>
      <c r="C28" s="43" t="s">
        <v>53</v>
      </c>
      <c r="D28" s="57">
        <v>1.0</v>
      </c>
      <c r="E28" s="58">
        <v>93485.7</v>
      </c>
      <c r="F28" s="52">
        <f t="shared" si="1"/>
        <v>93485.7</v>
      </c>
    </row>
    <row r="29">
      <c r="A29" s="46"/>
      <c r="B29" s="47">
        <v>2.5603381E7</v>
      </c>
      <c r="C29" s="43" t="s">
        <v>54</v>
      </c>
      <c r="D29" s="57">
        <v>1.0</v>
      </c>
      <c r="E29" s="58">
        <v>3733.2</v>
      </c>
      <c r="F29" s="52">
        <f t="shared" si="1"/>
        <v>3733.2</v>
      </c>
    </row>
    <row r="30">
      <c r="A30" s="46"/>
      <c r="B30" s="29"/>
      <c r="C30" s="43" t="s">
        <v>55</v>
      </c>
      <c r="D30" s="57">
        <v>1.0</v>
      </c>
      <c r="E30" s="58">
        <v>3806.4</v>
      </c>
      <c r="F30" s="52">
        <f t="shared" si="1"/>
        <v>3806.4</v>
      </c>
    </row>
    <row r="31">
      <c r="A31" s="46"/>
      <c r="B31" s="29"/>
      <c r="C31" s="43" t="s">
        <v>56</v>
      </c>
      <c r="D31" s="57">
        <v>1.0</v>
      </c>
      <c r="E31" s="58">
        <v>335.5</v>
      </c>
      <c r="F31" s="52">
        <f t="shared" si="1"/>
        <v>335.5</v>
      </c>
    </row>
    <row r="32">
      <c r="A32" s="41">
        <v>45947.0</v>
      </c>
      <c r="B32" s="42" t="s">
        <v>31</v>
      </c>
      <c r="C32" s="43" t="s">
        <v>57</v>
      </c>
      <c r="D32" s="57">
        <v>1.0</v>
      </c>
      <c r="E32" s="58">
        <v>10882.06</v>
      </c>
      <c r="F32" s="52">
        <f t="shared" si="1"/>
        <v>10882.06</v>
      </c>
    </row>
    <row r="33">
      <c r="A33" s="24"/>
      <c r="B33" s="47">
        <v>2.5603381E7</v>
      </c>
      <c r="C33" s="43" t="s">
        <v>58</v>
      </c>
      <c r="D33" s="57">
        <v>1.0</v>
      </c>
      <c r="E33" s="58">
        <v>7555.58</v>
      </c>
      <c r="F33" s="52">
        <f t="shared" si="1"/>
        <v>7555.58</v>
      </c>
    </row>
    <row r="34">
      <c r="A34" s="24"/>
      <c r="B34" s="29"/>
      <c r="C34" s="43" t="s">
        <v>59</v>
      </c>
      <c r="D34" s="57">
        <v>1.0</v>
      </c>
      <c r="E34" s="58">
        <v>2064.0</v>
      </c>
      <c r="F34" s="52">
        <f t="shared" si="1"/>
        <v>2064</v>
      </c>
    </row>
    <row r="35">
      <c r="A35" s="24"/>
      <c r="B35" s="29"/>
      <c r="C35" s="43" t="s">
        <v>60</v>
      </c>
      <c r="D35" s="57">
        <v>1.0</v>
      </c>
      <c r="E35" s="58">
        <v>6216.0</v>
      </c>
      <c r="F35" s="52">
        <f t="shared" si="1"/>
        <v>6216</v>
      </c>
    </row>
    <row r="36">
      <c r="A36" s="24"/>
      <c r="B36" s="29"/>
      <c r="C36" s="43" t="s">
        <v>61</v>
      </c>
      <c r="D36" s="57">
        <v>1.0</v>
      </c>
      <c r="E36" s="58">
        <v>875.0</v>
      </c>
      <c r="F36" s="52">
        <f t="shared" si="1"/>
        <v>875</v>
      </c>
    </row>
    <row r="37">
      <c r="A37" s="24"/>
      <c r="B37" s="29"/>
      <c r="C37" s="43" t="s">
        <v>62</v>
      </c>
      <c r="D37" s="57">
        <v>4.0</v>
      </c>
      <c r="E37" s="58">
        <v>63.65</v>
      </c>
      <c r="F37" s="52">
        <f t="shared" si="1"/>
        <v>254.6</v>
      </c>
    </row>
    <row r="38">
      <c r="A38" s="24"/>
      <c r="B38" s="29"/>
      <c r="C38" s="43" t="s">
        <v>63</v>
      </c>
      <c r="D38" s="57">
        <v>4.0</v>
      </c>
      <c r="E38" s="58">
        <v>95.14</v>
      </c>
      <c r="F38" s="52">
        <f t="shared" si="1"/>
        <v>380.56</v>
      </c>
    </row>
    <row r="39">
      <c r="A39" s="24"/>
      <c r="B39" s="29"/>
      <c r="C39" s="43" t="s">
        <v>64</v>
      </c>
      <c r="D39" s="57">
        <f>15-6</f>
        <v>9</v>
      </c>
      <c r="E39" s="58">
        <v>150.75</v>
      </c>
      <c r="F39" s="52">
        <f t="shared" si="1"/>
        <v>1356.75</v>
      </c>
    </row>
    <row r="40">
      <c r="A40" s="24"/>
      <c r="B40" s="29"/>
      <c r="C40" s="43" t="s">
        <v>65</v>
      </c>
      <c r="D40" s="57">
        <v>0.0</v>
      </c>
      <c r="E40" s="58">
        <v>384.58</v>
      </c>
      <c r="F40" s="52">
        <f t="shared" si="1"/>
        <v>0</v>
      </c>
    </row>
    <row r="41">
      <c r="A41" s="24"/>
      <c r="B41" s="29"/>
      <c r="C41" s="43" t="s">
        <v>66</v>
      </c>
      <c r="D41" s="57">
        <v>6.0</v>
      </c>
      <c r="E41" s="58">
        <v>575.53</v>
      </c>
      <c r="F41" s="52">
        <f t="shared" si="1"/>
        <v>3453.18</v>
      </c>
    </row>
    <row r="42">
      <c r="A42" s="24"/>
      <c r="B42" s="29"/>
      <c r="C42" s="43" t="s">
        <v>67</v>
      </c>
      <c r="D42" s="57">
        <v>4.0</v>
      </c>
      <c r="E42" s="58">
        <v>240.53</v>
      </c>
      <c r="F42" s="52">
        <f t="shared" si="1"/>
        <v>962.12</v>
      </c>
    </row>
    <row r="43">
      <c r="A43" s="24"/>
      <c r="B43" s="29"/>
      <c r="C43" s="43" t="s">
        <v>68</v>
      </c>
      <c r="D43" s="57">
        <v>1.0</v>
      </c>
      <c r="E43" s="58">
        <v>83.75</v>
      </c>
      <c r="F43" s="52">
        <f t="shared" si="1"/>
        <v>83.75</v>
      </c>
    </row>
    <row r="44">
      <c r="A44" s="24"/>
      <c r="B44" s="29"/>
      <c r="C44" s="43" t="s">
        <v>37</v>
      </c>
      <c r="D44" s="57">
        <v>1.0</v>
      </c>
      <c r="E44" s="58">
        <v>122.61</v>
      </c>
      <c r="F44" s="52">
        <f t="shared" si="1"/>
        <v>122.61</v>
      </c>
    </row>
    <row r="45">
      <c r="A45" s="24"/>
      <c r="B45" s="29"/>
      <c r="C45" s="43" t="s">
        <v>69</v>
      </c>
      <c r="D45" s="57">
        <v>2.0</v>
      </c>
      <c r="E45" s="58">
        <v>337.68</v>
      </c>
      <c r="F45" s="52">
        <f t="shared" si="1"/>
        <v>675.36</v>
      </c>
    </row>
    <row r="46">
      <c r="A46" s="24"/>
      <c r="B46" s="29"/>
      <c r="C46" s="43" t="s">
        <v>70</v>
      </c>
      <c r="D46" s="57">
        <v>1.0</v>
      </c>
      <c r="E46" s="58">
        <v>576.87</v>
      </c>
      <c r="F46" s="52">
        <f t="shared" si="1"/>
        <v>576.87</v>
      </c>
    </row>
    <row r="47">
      <c r="A47" s="24"/>
      <c r="B47" s="29"/>
      <c r="C47" s="43" t="s">
        <v>71</v>
      </c>
      <c r="D47" s="57">
        <v>1.0</v>
      </c>
      <c r="E47" s="58">
        <v>79.06</v>
      </c>
      <c r="F47" s="52">
        <f t="shared" si="1"/>
        <v>79.06</v>
      </c>
    </row>
    <row r="48">
      <c r="A48" s="24"/>
      <c r="B48" s="29"/>
      <c r="C48" s="43" t="s">
        <v>72</v>
      </c>
      <c r="D48" s="57">
        <v>3.0</v>
      </c>
      <c r="E48" s="58">
        <v>107.2</v>
      </c>
      <c r="F48" s="52">
        <f t="shared" si="1"/>
        <v>321.6</v>
      </c>
    </row>
    <row r="49">
      <c r="A49" s="24"/>
      <c r="B49" s="29"/>
      <c r="C49" s="43" t="s">
        <v>73</v>
      </c>
      <c r="D49" s="57">
        <v>2.0</v>
      </c>
      <c r="E49" s="58">
        <v>209.71</v>
      </c>
      <c r="F49" s="52">
        <f t="shared" si="1"/>
        <v>419.42</v>
      </c>
    </row>
    <row r="50">
      <c r="A50" s="24"/>
      <c r="B50" s="29"/>
      <c r="C50" s="43" t="s">
        <v>74</v>
      </c>
      <c r="D50" s="57">
        <v>2.0</v>
      </c>
      <c r="E50" s="58">
        <v>294.8</v>
      </c>
      <c r="F50" s="52">
        <f t="shared" si="1"/>
        <v>589.6</v>
      </c>
    </row>
    <row r="51">
      <c r="A51" s="24"/>
      <c r="B51" s="29"/>
      <c r="C51" s="43" t="s">
        <v>75</v>
      </c>
      <c r="D51" s="57">
        <v>3.0</v>
      </c>
      <c r="E51" s="58">
        <v>156.0</v>
      </c>
      <c r="F51" s="52">
        <f t="shared" si="1"/>
        <v>468</v>
      </c>
    </row>
    <row r="52">
      <c r="A52" s="24"/>
      <c r="B52" s="29"/>
      <c r="C52" s="43" t="s">
        <v>76</v>
      </c>
      <c r="D52" s="57">
        <v>1.0</v>
      </c>
      <c r="E52" s="58">
        <v>139.75</v>
      </c>
      <c r="F52" s="52">
        <f t="shared" si="1"/>
        <v>139.75</v>
      </c>
    </row>
    <row r="53">
      <c r="A53" s="24"/>
      <c r="B53" s="29"/>
      <c r="C53" s="43" t="s">
        <v>77</v>
      </c>
      <c r="D53" s="57">
        <v>6.0</v>
      </c>
      <c r="E53" s="58">
        <v>129.31</v>
      </c>
      <c r="F53" s="52">
        <f t="shared" si="1"/>
        <v>775.86</v>
      </c>
    </row>
    <row r="54">
      <c r="A54" s="24"/>
      <c r="B54" s="29"/>
      <c r="C54" s="43" t="s">
        <v>78</v>
      </c>
      <c r="D54" s="57">
        <v>1.0</v>
      </c>
      <c r="E54" s="58">
        <v>1141.0</v>
      </c>
      <c r="F54" s="52">
        <f t="shared" si="1"/>
        <v>1141</v>
      </c>
    </row>
    <row r="55">
      <c r="A55" s="24"/>
      <c r="B55" s="29"/>
      <c r="C55" s="43" t="s">
        <v>79</v>
      </c>
      <c r="D55" s="57">
        <v>1.0</v>
      </c>
      <c r="E55" s="58">
        <v>1575.0</v>
      </c>
      <c r="F55" s="52">
        <f t="shared" si="1"/>
        <v>1575</v>
      </c>
    </row>
    <row r="56">
      <c r="A56" s="24"/>
      <c r="B56" s="29"/>
      <c r="C56" s="43" t="s">
        <v>80</v>
      </c>
      <c r="D56" s="57">
        <v>1.0</v>
      </c>
      <c r="E56" s="58">
        <v>6379.8</v>
      </c>
      <c r="F56" s="52">
        <f t="shared" si="1"/>
        <v>6379.8</v>
      </c>
    </row>
    <row r="57">
      <c r="A57" s="24"/>
      <c r="B57" s="29"/>
      <c r="C57" s="43" t="s">
        <v>81</v>
      </c>
      <c r="D57" s="57">
        <v>1.0</v>
      </c>
      <c r="E57" s="58">
        <v>135.34</v>
      </c>
      <c r="F57" s="52">
        <f t="shared" si="1"/>
        <v>135.34</v>
      </c>
    </row>
    <row r="58">
      <c r="A58" s="24"/>
      <c r="B58" s="29"/>
      <c r="C58" s="43" t="s">
        <v>82</v>
      </c>
      <c r="D58" s="57">
        <v>1.0</v>
      </c>
      <c r="E58" s="58">
        <v>118.0</v>
      </c>
      <c r="F58" s="52">
        <f t="shared" si="1"/>
        <v>118</v>
      </c>
    </row>
    <row r="59">
      <c r="A59" s="24"/>
      <c r="B59" s="29"/>
      <c r="C59" s="43" t="s">
        <v>83</v>
      </c>
      <c r="D59" s="57">
        <v>0.0</v>
      </c>
      <c r="E59" s="58">
        <v>194.6</v>
      </c>
      <c r="F59" s="52">
        <f t="shared" si="1"/>
        <v>0</v>
      </c>
    </row>
    <row r="60">
      <c r="A60" s="24"/>
      <c r="B60" s="29"/>
      <c r="C60" s="43" t="s">
        <v>52</v>
      </c>
      <c r="D60" s="57">
        <v>1.0</v>
      </c>
      <c r="E60" s="58">
        <v>30431.4</v>
      </c>
      <c r="F60" s="52">
        <f t="shared" si="1"/>
        <v>30431.4</v>
      </c>
    </row>
    <row r="61">
      <c r="A61" s="24"/>
      <c r="B61" s="29"/>
      <c r="C61" s="43" t="s">
        <v>84</v>
      </c>
      <c r="D61" s="57">
        <v>1.0</v>
      </c>
      <c r="E61" s="58">
        <v>5086.5</v>
      </c>
      <c r="F61" s="52">
        <f t="shared" si="1"/>
        <v>5086.5</v>
      </c>
    </row>
    <row r="62">
      <c r="A62" s="24"/>
      <c r="B62" s="29"/>
      <c r="C62" s="43" t="s">
        <v>85</v>
      </c>
      <c r="D62" s="57">
        <v>1.0</v>
      </c>
      <c r="E62" s="58">
        <v>4392.5</v>
      </c>
      <c r="F62" s="52">
        <f t="shared" si="1"/>
        <v>4392.5</v>
      </c>
    </row>
    <row r="63">
      <c r="A63" s="24"/>
      <c r="B63" s="29"/>
      <c r="C63" s="43" t="s">
        <v>82</v>
      </c>
      <c r="D63" s="57">
        <v>0.0</v>
      </c>
      <c r="E63" s="58">
        <v>79.06</v>
      </c>
      <c r="F63" s="52">
        <f t="shared" si="1"/>
        <v>0</v>
      </c>
    </row>
    <row r="64">
      <c r="A64" s="24"/>
      <c r="B64" s="29"/>
      <c r="C64" s="43" t="s">
        <v>46</v>
      </c>
      <c r="D64" s="57">
        <v>22.0</v>
      </c>
      <c r="E64" s="58">
        <v>289.0</v>
      </c>
      <c r="F64" s="52">
        <f t="shared" si="1"/>
        <v>6358</v>
      </c>
    </row>
    <row r="65">
      <c r="A65" s="59">
        <v>45953.0</v>
      </c>
      <c r="B65" s="42" t="s">
        <v>31</v>
      </c>
      <c r="C65" s="43" t="s">
        <v>86</v>
      </c>
      <c r="D65" s="23">
        <v>3.0</v>
      </c>
      <c r="E65" s="44">
        <v>110.0</v>
      </c>
      <c r="F65" s="45">
        <f t="shared" si="1"/>
        <v>330</v>
      </c>
    </row>
    <row r="66">
      <c r="A66" s="24"/>
      <c r="B66" s="47">
        <v>2.5603381E7</v>
      </c>
      <c r="C66" s="43" t="s">
        <v>87</v>
      </c>
      <c r="D66" s="23">
        <v>3.0</v>
      </c>
      <c r="E66" s="44">
        <v>22.0</v>
      </c>
      <c r="F66" s="45">
        <f t="shared" si="1"/>
        <v>66</v>
      </c>
    </row>
    <row r="67">
      <c r="A67" s="24"/>
      <c r="B67" s="29"/>
      <c r="C67" s="43" t="s">
        <v>88</v>
      </c>
      <c r="D67" s="23">
        <v>4.0</v>
      </c>
      <c r="E67" s="44">
        <v>47.0</v>
      </c>
      <c r="F67" s="45">
        <f t="shared" si="1"/>
        <v>188</v>
      </c>
    </row>
    <row r="68">
      <c r="A68" s="24"/>
      <c r="B68" s="29"/>
      <c r="C68" s="43" t="s">
        <v>89</v>
      </c>
      <c r="D68" s="23">
        <v>4.0</v>
      </c>
      <c r="E68" s="44">
        <v>80.0</v>
      </c>
      <c r="F68" s="45">
        <f t="shared" si="1"/>
        <v>320</v>
      </c>
    </row>
    <row r="69">
      <c r="A69" s="24"/>
      <c r="B69" s="29"/>
      <c r="C69" s="43" t="s">
        <v>36</v>
      </c>
      <c r="D69" s="23">
        <v>2.0</v>
      </c>
      <c r="E69" s="44">
        <v>936.0</v>
      </c>
      <c r="F69" s="45">
        <f t="shared" si="1"/>
        <v>1872</v>
      </c>
    </row>
    <row r="70">
      <c r="A70" s="24"/>
      <c r="B70" s="29"/>
      <c r="C70" s="43" t="s">
        <v>90</v>
      </c>
      <c r="D70" s="23">
        <v>5.0</v>
      </c>
      <c r="E70" s="44">
        <v>374.39</v>
      </c>
      <c r="F70" s="45">
        <f t="shared" si="1"/>
        <v>1871.95</v>
      </c>
    </row>
    <row r="71">
      <c r="A71" s="24"/>
      <c r="B71" s="29"/>
      <c r="C71" s="43" t="s">
        <v>91</v>
      </c>
      <c r="D71" s="23">
        <v>5.0</v>
      </c>
      <c r="E71" s="44">
        <v>345.29</v>
      </c>
      <c r="F71" s="45">
        <f t="shared" si="1"/>
        <v>1726.45</v>
      </c>
    </row>
    <row r="72">
      <c r="A72" s="24"/>
      <c r="B72" s="29"/>
      <c r="C72" s="43" t="s">
        <v>92</v>
      </c>
      <c r="D72" s="23">
        <v>4.0</v>
      </c>
      <c r="E72" s="44">
        <v>444.19</v>
      </c>
      <c r="F72" s="45">
        <f t="shared" si="1"/>
        <v>1776.76</v>
      </c>
    </row>
    <row r="73">
      <c r="A73" s="60">
        <v>45971.0</v>
      </c>
      <c r="B73" s="42" t="s">
        <v>31</v>
      </c>
      <c r="C73" s="54" t="s">
        <v>46</v>
      </c>
      <c r="D73" s="55">
        <v>6.0</v>
      </c>
      <c r="E73" s="56">
        <v>279.0</v>
      </c>
      <c r="F73" s="45">
        <f t="shared" si="1"/>
        <v>1674</v>
      </c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>
      <c r="A74" s="24"/>
      <c r="B74" s="47">
        <v>2.5603617E7</v>
      </c>
      <c r="C74" s="43" t="s">
        <v>93</v>
      </c>
      <c r="D74" s="23">
        <v>20.0</v>
      </c>
      <c r="E74" s="44">
        <v>111.25</v>
      </c>
      <c r="F74" s="45">
        <f t="shared" si="1"/>
        <v>2225</v>
      </c>
    </row>
    <row r="75">
      <c r="A75" s="24"/>
      <c r="B75" s="29"/>
      <c r="C75" s="43" t="s">
        <v>94</v>
      </c>
      <c r="D75" s="23">
        <v>2.0</v>
      </c>
      <c r="E75" s="44">
        <v>360.99</v>
      </c>
      <c r="F75" s="45">
        <f t="shared" si="1"/>
        <v>721.98</v>
      </c>
    </row>
    <row r="76">
      <c r="A76" s="24"/>
      <c r="B76" s="29"/>
      <c r="C76" s="43" t="s">
        <v>95</v>
      </c>
      <c r="D76" s="23">
        <v>2.0</v>
      </c>
      <c r="E76" s="44">
        <v>177.1</v>
      </c>
      <c r="F76" s="45">
        <f t="shared" si="1"/>
        <v>354.2</v>
      </c>
    </row>
    <row r="77">
      <c r="A77" s="24"/>
      <c r="B77" s="29"/>
      <c r="C77" s="43" t="s">
        <v>96</v>
      </c>
      <c r="D77" s="23">
        <v>2.0</v>
      </c>
      <c r="E77" s="44">
        <v>163.45</v>
      </c>
      <c r="F77" s="45">
        <f t="shared" si="1"/>
        <v>326.9</v>
      </c>
    </row>
    <row r="78">
      <c r="A78" s="59">
        <v>45964.0</v>
      </c>
      <c r="B78" s="42" t="s">
        <v>31</v>
      </c>
      <c r="C78" s="43" t="s">
        <v>97</v>
      </c>
      <c r="D78" s="23">
        <v>4.0</v>
      </c>
      <c r="E78" s="44">
        <v>264.6</v>
      </c>
      <c r="F78" s="45">
        <f t="shared" si="1"/>
        <v>1058.4</v>
      </c>
    </row>
    <row r="79">
      <c r="A79" s="24"/>
      <c r="B79" s="61">
        <v>2.5603617E7</v>
      </c>
      <c r="C79" s="43" t="s">
        <v>98</v>
      </c>
      <c r="D79" s="23">
        <v>4.0</v>
      </c>
      <c r="E79" s="44">
        <v>341.6</v>
      </c>
      <c r="F79" s="45">
        <f t="shared" si="1"/>
        <v>1366.4</v>
      </c>
    </row>
    <row r="80">
      <c r="A80" s="24"/>
      <c r="B80" s="62"/>
      <c r="C80" s="43" t="s">
        <v>99</v>
      </c>
      <c r="D80" s="23">
        <v>2.0</v>
      </c>
      <c r="E80" s="44">
        <v>119.7</v>
      </c>
      <c r="F80" s="45">
        <f t="shared" si="1"/>
        <v>239.4</v>
      </c>
    </row>
    <row r="81">
      <c r="A81" s="24"/>
      <c r="B81" s="29"/>
      <c r="C81" s="43" t="s">
        <v>100</v>
      </c>
      <c r="D81" s="23">
        <v>2.0</v>
      </c>
      <c r="E81" s="44">
        <v>174.3</v>
      </c>
      <c r="F81" s="45">
        <f t="shared" si="1"/>
        <v>348.6</v>
      </c>
    </row>
    <row r="82">
      <c r="A82" s="24"/>
      <c r="B82" s="29"/>
      <c r="C82" s="43" t="s">
        <v>101</v>
      </c>
      <c r="D82" s="23">
        <v>4.0</v>
      </c>
      <c r="E82" s="44">
        <v>60.9</v>
      </c>
      <c r="F82" s="45">
        <f t="shared" si="1"/>
        <v>243.6</v>
      </c>
    </row>
    <row r="83">
      <c r="A83" s="24"/>
      <c r="B83" s="29"/>
      <c r="C83" s="43" t="s">
        <v>102</v>
      </c>
      <c r="D83" s="23">
        <v>2.0</v>
      </c>
      <c r="E83" s="44">
        <v>715.01</v>
      </c>
      <c r="F83" s="45">
        <f t="shared" si="1"/>
        <v>1430.02</v>
      </c>
    </row>
    <row r="84">
      <c r="A84" s="24"/>
      <c r="B84" s="29"/>
      <c r="C84" s="43" t="s">
        <v>34</v>
      </c>
      <c r="D84" s="23">
        <v>2.0</v>
      </c>
      <c r="E84" s="44">
        <v>980.9</v>
      </c>
      <c r="F84" s="45">
        <f t="shared" si="1"/>
        <v>1961.8</v>
      </c>
    </row>
    <row r="85">
      <c r="A85" s="24"/>
      <c r="B85" s="29"/>
      <c r="C85" s="43" t="s">
        <v>103</v>
      </c>
      <c r="D85" s="23">
        <v>3.0</v>
      </c>
      <c r="E85" s="44">
        <v>561.12</v>
      </c>
      <c r="F85" s="45">
        <f t="shared" si="1"/>
        <v>1683.36</v>
      </c>
    </row>
    <row r="86">
      <c r="A86" s="24"/>
      <c r="B86" s="29"/>
      <c r="C86" s="43" t="s">
        <v>104</v>
      </c>
      <c r="D86" s="23">
        <v>20.0</v>
      </c>
      <c r="E86" s="44">
        <v>4.56</v>
      </c>
      <c r="F86" s="45">
        <f t="shared" si="1"/>
        <v>91.2</v>
      </c>
    </row>
    <row r="87">
      <c r="A87" s="24"/>
      <c r="B87" s="29"/>
      <c r="C87" s="43" t="s">
        <v>105</v>
      </c>
      <c r="D87" s="23">
        <v>100.0</v>
      </c>
      <c r="E87" s="44">
        <v>3.42</v>
      </c>
      <c r="F87" s="45">
        <f t="shared" si="1"/>
        <v>342</v>
      </c>
    </row>
    <row r="88">
      <c r="A88" s="24"/>
      <c r="B88" s="29"/>
      <c r="C88" s="43" t="s">
        <v>106</v>
      </c>
      <c r="D88" s="23">
        <v>100.0</v>
      </c>
      <c r="E88" s="44">
        <v>2.74</v>
      </c>
      <c r="F88" s="45">
        <f t="shared" si="1"/>
        <v>274</v>
      </c>
    </row>
    <row r="89">
      <c r="A89" s="24"/>
      <c r="B89" s="29"/>
      <c r="C89" s="43" t="s">
        <v>107</v>
      </c>
      <c r="D89" s="23">
        <v>10.0</v>
      </c>
      <c r="E89" s="44">
        <v>8.36</v>
      </c>
      <c r="F89" s="45">
        <f t="shared" si="1"/>
        <v>83.6</v>
      </c>
    </row>
    <row r="90">
      <c r="A90" s="24"/>
      <c r="B90" s="29"/>
      <c r="C90" s="43" t="s">
        <v>108</v>
      </c>
      <c r="D90" s="23">
        <v>10.0</v>
      </c>
      <c r="E90" s="44">
        <v>14.06</v>
      </c>
      <c r="F90" s="45">
        <f t="shared" si="1"/>
        <v>140.6</v>
      </c>
    </row>
    <row r="91">
      <c r="A91" s="24"/>
      <c r="B91" s="29"/>
      <c r="C91" s="43" t="s">
        <v>109</v>
      </c>
      <c r="D91" s="23">
        <v>3.0</v>
      </c>
      <c r="E91" s="44">
        <v>29.25</v>
      </c>
      <c r="F91" s="45">
        <f t="shared" si="1"/>
        <v>87.75</v>
      </c>
    </row>
    <row r="92">
      <c r="A92" s="24"/>
      <c r="B92" s="29"/>
      <c r="C92" s="43" t="s">
        <v>110</v>
      </c>
      <c r="D92" s="23">
        <v>4.0</v>
      </c>
      <c r="E92" s="44">
        <v>29.25</v>
      </c>
      <c r="F92" s="45">
        <f t="shared" si="1"/>
        <v>117</v>
      </c>
    </row>
    <row r="93">
      <c r="A93" s="24"/>
      <c r="B93" s="29"/>
      <c r="C93" s="43" t="s">
        <v>111</v>
      </c>
      <c r="D93" s="23">
        <v>1.0</v>
      </c>
      <c r="E93" s="44">
        <v>170.25</v>
      </c>
      <c r="F93" s="45">
        <f t="shared" si="1"/>
        <v>170.25</v>
      </c>
    </row>
    <row r="94">
      <c r="A94" s="24"/>
      <c r="B94" s="29"/>
      <c r="C94" s="43" t="s">
        <v>112</v>
      </c>
      <c r="D94" s="23">
        <v>5.0</v>
      </c>
      <c r="E94" s="44">
        <v>2.6</v>
      </c>
      <c r="F94" s="45">
        <f t="shared" si="1"/>
        <v>13</v>
      </c>
    </row>
    <row r="95">
      <c r="A95" s="24"/>
      <c r="B95" s="29"/>
      <c r="C95" s="43" t="s">
        <v>113</v>
      </c>
      <c r="D95" s="23">
        <v>5.0</v>
      </c>
      <c r="E95" s="44">
        <v>2.6</v>
      </c>
      <c r="F95" s="45">
        <f t="shared" si="1"/>
        <v>13</v>
      </c>
    </row>
    <row r="96">
      <c r="A96" s="24"/>
      <c r="B96" s="29"/>
      <c r="C96" s="43" t="s">
        <v>114</v>
      </c>
      <c r="D96" s="23">
        <v>3.0</v>
      </c>
      <c r="E96" s="44">
        <v>9.75</v>
      </c>
      <c r="F96" s="45">
        <f t="shared" si="1"/>
        <v>29.25</v>
      </c>
    </row>
    <row r="97">
      <c r="A97" s="24"/>
      <c r="B97" s="29"/>
      <c r="C97" s="43" t="s">
        <v>115</v>
      </c>
      <c r="D97" s="23">
        <v>3.0</v>
      </c>
      <c r="E97" s="44">
        <v>7.8</v>
      </c>
      <c r="F97" s="45">
        <f t="shared" si="1"/>
        <v>23.4</v>
      </c>
    </row>
    <row r="98">
      <c r="A98" s="24"/>
      <c r="B98" s="29"/>
      <c r="C98" s="43" t="s">
        <v>116</v>
      </c>
      <c r="D98" s="23">
        <v>3.0</v>
      </c>
      <c r="E98" s="44">
        <v>13.0</v>
      </c>
      <c r="F98" s="45">
        <f t="shared" si="1"/>
        <v>39</v>
      </c>
    </row>
    <row r="99">
      <c r="A99" s="24"/>
      <c r="B99" s="29"/>
      <c r="C99" s="43" t="s">
        <v>117</v>
      </c>
      <c r="D99" s="23">
        <v>3.0</v>
      </c>
      <c r="E99" s="44">
        <v>18.85</v>
      </c>
      <c r="F99" s="45">
        <f t="shared" si="1"/>
        <v>56.55</v>
      </c>
    </row>
    <row r="100">
      <c r="A100" s="24"/>
      <c r="B100" s="29"/>
      <c r="C100" s="43" t="s">
        <v>118</v>
      </c>
      <c r="D100" s="23">
        <v>6.0</v>
      </c>
      <c r="E100" s="44">
        <v>11.05</v>
      </c>
      <c r="F100" s="45">
        <f t="shared" si="1"/>
        <v>66.3</v>
      </c>
    </row>
    <row r="101">
      <c r="A101" s="59">
        <v>45964.0</v>
      </c>
      <c r="B101" s="42" t="s">
        <v>31</v>
      </c>
      <c r="C101" s="63" t="s">
        <v>119</v>
      </c>
      <c r="D101" s="23">
        <v>2.0</v>
      </c>
      <c r="E101" s="44">
        <v>833.06</v>
      </c>
      <c r="F101" s="45">
        <f t="shared" si="1"/>
        <v>1666.12</v>
      </c>
    </row>
    <row r="102">
      <c r="A102" s="24"/>
      <c r="B102" s="61">
        <v>2.5603617E7</v>
      </c>
      <c r="C102" s="63" t="s">
        <v>120</v>
      </c>
      <c r="D102" s="23">
        <v>1.0</v>
      </c>
      <c r="E102" s="44">
        <v>104.95</v>
      </c>
      <c r="F102" s="45">
        <f t="shared" si="1"/>
        <v>104.95</v>
      </c>
    </row>
    <row r="103">
      <c r="A103" s="24"/>
      <c r="B103" s="64" t="s">
        <v>121</v>
      </c>
      <c r="C103" s="63" t="s">
        <v>104</v>
      </c>
      <c r="D103" s="23">
        <v>20.0</v>
      </c>
      <c r="E103" s="44">
        <v>4.56</v>
      </c>
      <c r="F103" s="45">
        <f t="shared" si="1"/>
        <v>91.2</v>
      </c>
    </row>
    <row r="104">
      <c r="A104" s="24"/>
      <c r="B104" s="29"/>
      <c r="C104" s="63" t="s">
        <v>45</v>
      </c>
      <c r="D104" s="23">
        <v>20.0</v>
      </c>
      <c r="E104" s="44">
        <v>69.7</v>
      </c>
      <c r="F104" s="45">
        <f t="shared" si="1"/>
        <v>1394</v>
      </c>
    </row>
    <row r="105">
      <c r="A105" s="24"/>
      <c r="B105" s="29"/>
      <c r="C105" s="63" t="s">
        <v>122</v>
      </c>
      <c r="D105" s="23">
        <v>1.0</v>
      </c>
      <c r="E105" s="44">
        <v>155.24</v>
      </c>
      <c r="F105" s="45">
        <f t="shared" si="1"/>
        <v>155.24</v>
      </c>
    </row>
    <row r="106">
      <c r="A106" s="24"/>
      <c r="B106" s="29"/>
      <c r="C106" s="63" t="s">
        <v>123</v>
      </c>
      <c r="D106" s="23">
        <v>3.0</v>
      </c>
      <c r="E106" s="44">
        <v>116.2</v>
      </c>
      <c r="F106" s="45">
        <f t="shared" si="1"/>
        <v>348.6</v>
      </c>
    </row>
    <row r="107">
      <c r="A107" s="59">
        <v>45971.0</v>
      </c>
      <c r="B107" s="42" t="s">
        <v>31</v>
      </c>
      <c r="C107" s="43" t="s">
        <v>124</v>
      </c>
      <c r="D107" s="23">
        <v>1.0</v>
      </c>
      <c r="E107" s="44">
        <v>3790.0</v>
      </c>
      <c r="F107" s="45">
        <f t="shared" si="1"/>
        <v>3790</v>
      </c>
    </row>
    <row r="108">
      <c r="A108" s="24"/>
      <c r="B108" s="61">
        <v>2.5603618E7</v>
      </c>
      <c r="C108" s="43" t="s">
        <v>125</v>
      </c>
      <c r="D108" s="23">
        <v>2.0</v>
      </c>
      <c r="E108" s="44">
        <v>168.0</v>
      </c>
      <c r="F108" s="45">
        <f t="shared" si="1"/>
        <v>336</v>
      </c>
    </row>
    <row r="109">
      <c r="A109" s="24"/>
      <c r="B109" s="29"/>
      <c r="C109" s="43" t="s">
        <v>126</v>
      </c>
      <c r="D109" s="23">
        <v>4.0</v>
      </c>
      <c r="E109" s="44">
        <v>119.0</v>
      </c>
      <c r="F109" s="45">
        <f t="shared" si="1"/>
        <v>476</v>
      </c>
    </row>
    <row r="110">
      <c r="A110" s="24"/>
      <c r="B110" s="29"/>
      <c r="C110" s="43" t="s">
        <v>127</v>
      </c>
      <c r="D110" s="23">
        <v>4.0</v>
      </c>
      <c r="E110" s="44">
        <v>149.8</v>
      </c>
      <c r="F110" s="45">
        <f t="shared" si="1"/>
        <v>599.2</v>
      </c>
    </row>
    <row r="111">
      <c r="A111" s="24"/>
      <c r="B111" s="29"/>
      <c r="C111" s="43" t="s">
        <v>128</v>
      </c>
      <c r="D111" s="23">
        <v>4.0</v>
      </c>
      <c r="E111" s="44">
        <v>70.0</v>
      </c>
      <c r="F111" s="45">
        <f t="shared" si="1"/>
        <v>280</v>
      </c>
    </row>
    <row r="112">
      <c r="A112" s="24"/>
      <c r="B112" s="29"/>
      <c r="C112" s="43" t="s">
        <v>129</v>
      </c>
      <c r="D112" s="23">
        <v>4.0</v>
      </c>
      <c r="E112" s="44">
        <v>88.9</v>
      </c>
      <c r="F112" s="45">
        <f t="shared" si="1"/>
        <v>355.6</v>
      </c>
    </row>
    <row r="113">
      <c r="A113" s="24"/>
      <c r="B113" s="29"/>
      <c r="C113" s="43" t="s">
        <v>130</v>
      </c>
      <c r="D113" s="23">
        <v>6.0</v>
      </c>
      <c r="E113" s="44">
        <v>109.9</v>
      </c>
      <c r="F113" s="45">
        <f t="shared" si="1"/>
        <v>659.4</v>
      </c>
    </row>
    <row r="114">
      <c r="A114" s="24"/>
      <c r="B114" s="29"/>
      <c r="C114" s="43" t="s">
        <v>131</v>
      </c>
      <c r="D114" s="23">
        <v>6.0</v>
      </c>
      <c r="E114" s="44">
        <v>112.7</v>
      </c>
      <c r="F114" s="45">
        <f t="shared" si="1"/>
        <v>676.2</v>
      </c>
    </row>
    <row r="115">
      <c r="A115" s="24"/>
      <c r="B115" s="29"/>
      <c r="C115" s="43" t="s">
        <v>132</v>
      </c>
      <c r="D115" s="23">
        <v>2.0</v>
      </c>
      <c r="E115" s="44">
        <v>220.4</v>
      </c>
      <c r="F115" s="45">
        <f t="shared" si="1"/>
        <v>440.8</v>
      </c>
    </row>
    <row r="116">
      <c r="A116" s="24"/>
      <c r="B116" s="29"/>
      <c r="C116" s="43" t="s">
        <v>133</v>
      </c>
      <c r="D116" s="23">
        <v>2.0</v>
      </c>
      <c r="E116" s="44">
        <v>86.1</v>
      </c>
      <c r="F116" s="45">
        <f t="shared" si="1"/>
        <v>172.2</v>
      </c>
    </row>
    <row r="117">
      <c r="A117" s="24"/>
      <c r="B117" s="29"/>
      <c r="C117" s="43" t="s">
        <v>134</v>
      </c>
      <c r="D117" s="23">
        <v>1.0</v>
      </c>
      <c r="E117" s="44">
        <v>359.45</v>
      </c>
      <c r="F117" s="45">
        <f t="shared" si="1"/>
        <v>359.45</v>
      </c>
    </row>
    <row r="118">
      <c r="A118" s="24"/>
      <c r="B118" s="29"/>
      <c r="C118" s="43" t="s">
        <v>135</v>
      </c>
      <c r="D118" s="23">
        <v>5.0</v>
      </c>
      <c r="E118" s="44">
        <v>142.8</v>
      </c>
      <c r="F118" s="45">
        <f t="shared" si="1"/>
        <v>714</v>
      </c>
    </row>
    <row r="119">
      <c r="A119" s="24"/>
      <c r="B119" s="29"/>
      <c r="C119" s="43" t="s">
        <v>136</v>
      </c>
      <c r="D119" s="23">
        <v>5.0</v>
      </c>
      <c r="E119" s="44">
        <v>153.72</v>
      </c>
      <c r="F119" s="45">
        <f t="shared" si="1"/>
        <v>768.6</v>
      </c>
    </row>
    <row r="120">
      <c r="A120" s="24"/>
      <c r="B120" s="29"/>
      <c r="C120" s="43" t="s">
        <v>137</v>
      </c>
      <c r="D120" s="23">
        <v>6.0</v>
      </c>
      <c r="E120" s="44">
        <v>169.4</v>
      </c>
      <c r="F120" s="45">
        <f t="shared" si="1"/>
        <v>1016.4</v>
      </c>
    </row>
    <row r="121">
      <c r="A121" s="24"/>
      <c r="B121" s="29"/>
      <c r="C121" s="43" t="s">
        <v>138</v>
      </c>
      <c r="D121" s="23">
        <v>2.0</v>
      </c>
      <c r="E121" s="44">
        <v>135.1</v>
      </c>
      <c r="F121" s="45">
        <f t="shared" si="1"/>
        <v>270.2</v>
      </c>
    </row>
    <row r="122">
      <c r="A122" s="24"/>
      <c r="B122" s="29"/>
      <c r="C122" s="43" t="s">
        <v>139</v>
      </c>
      <c r="D122" s="23">
        <v>1.0</v>
      </c>
      <c r="E122" s="44">
        <v>82.84</v>
      </c>
      <c r="F122" s="45">
        <f t="shared" si="1"/>
        <v>82.84</v>
      </c>
    </row>
    <row r="123">
      <c r="A123" s="59">
        <v>45950.0</v>
      </c>
      <c r="B123" s="42" t="s">
        <v>31</v>
      </c>
      <c r="C123" s="43" t="s">
        <v>140</v>
      </c>
      <c r="D123" s="57">
        <v>6.0</v>
      </c>
      <c r="E123" s="58">
        <v>2800.24</v>
      </c>
      <c r="F123" s="52">
        <f t="shared" si="1"/>
        <v>16801.44</v>
      </c>
    </row>
    <row r="124">
      <c r="A124" s="24"/>
      <c r="B124" s="61">
        <v>2.5603381E7</v>
      </c>
      <c r="C124" s="43" t="s">
        <v>141</v>
      </c>
      <c r="D124" s="57">
        <v>1.0</v>
      </c>
      <c r="E124" s="58">
        <v>2656.98</v>
      </c>
      <c r="F124" s="52">
        <f t="shared" si="1"/>
        <v>2656.98</v>
      </c>
    </row>
    <row r="125">
      <c r="A125" s="24"/>
      <c r="B125" s="29"/>
      <c r="C125" s="43" t="s">
        <v>142</v>
      </c>
      <c r="D125" s="57">
        <v>1.0</v>
      </c>
      <c r="E125" s="58">
        <v>2391.05</v>
      </c>
      <c r="F125" s="52">
        <f t="shared" si="1"/>
        <v>2391.05</v>
      </c>
    </row>
    <row r="126">
      <c r="A126" s="24"/>
      <c r="B126" s="29"/>
      <c r="C126" s="43" t="s">
        <v>143</v>
      </c>
      <c r="D126" s="57">
        <v>5.0</v>
      </c>
      <c r="E126" s="58">
        <v>2581.58</v>
      </c>
      <c r="F126" s="52">
        <f t="shared" si="1"/>
        <v>12907.9</v>
      </c>
    </row>
    <row r="127">
      <c r="A127" s="24"/>
      <c r="B127" s="29"/>
      <c r="C127" s="43" t="s">
        <v>144</v>
      </c>
      <c r="D127" s="57">
        <v>4.0</v>
      </c>
      <c r="E127" s="58">
        <v>2930.16</v>
      </c>
      <c r="F127" s="52">
        <f t="shared" si="1"/>
        <v>11720.64</v>
      </c>
    </row>
    <row r="128">
      <c r="A128" s="59">
        <v>45945.0</v>
      </c>
      <c r="B128" s="42" t="s">
        <v>31</v>
      </c>
      <c r="C128" s="43" t="s">
        <v>145</v>
      </c>
      <c r="D128" s="57">
        <v>1.0</v>
      </c>
      <c r="E128" s="58">
        <v>3203.63</v>
      </c>
      <c r="F128" s="52">
        <f t="shared" si="1"/>
        <v>3203.63</v>
      </c>
    </row>
    <row r="129">
      <c r="A129" s="24"/>
      <c r="B129" s="61">
        <v>2.5603381E7</v>
      </c>
      <c r="C129" s="43" t="s">
        <v>144</v>
      </c>
      <c r="D129" s="57">
        <v>7.0</v>
      </c>
      <c r="E129" s="58">
        <v>2930.16</v>
      </c>
      <c r="F129" s="52">
        <f t="shared" si="1"/>
        <v>20511.12</v>
      </c>
    </row>
    <row r="130">
      <c r="A130" s="24"/>
      <c r="B130" s="29"/>
      <c r="C130" s="43" t="s">
        <v>140</v>
      </c>
      <c r="D130" s="57">
        <v>1.0</v>
      </c>
      <c r="E130" s="58">
        <v>2800.24</v>
      </c>
      <c r="F130" s="52">
        <f t="shared" si="1"/>
        <v>2800.24</v>
      </c>
    </row>
    <row r="131">
      <c r="A131" s="24"/>
      <c r="B131" s="29"/>
      <c r="C131" s="43" t="s">
        <v>141</v>
      </c>
      <c r="D131" s="57">
        <v>8.0</v>
      </c>
      <c r="E131" s="58">
        <v>2656.98</v>
      </c>
      <c r="F131" s="52">
        <f t="shared" si="1"/>
        <v>21255.84</v>
      </c>
    </row>
    <row r="132">
      <c r="A132" s="24"/>
      <c r="B132" s="29"/>
      <c r="C132" s="43" t="s">
        <v>142</v>
      </c>
      <c r="D132" s="57">
        <v>3.0</v>
      </c>
      <c r="E132" s="58">
        <v>2391.05</v>
      </c>
      <c r="F132" s="52">
        <f t="shared" si="1"/>
        <v>7173.15</v>
      </c>
    </row>
    <row r="133">
      <c r="A133" s="24"/>
      <c r="B133" s="29"/>
      <c r="C133" s="43" t="s">
        <v>143</v>
      </c>
      <c r="D133" s="57">
        <v>1.0</v>
      </c>
      <c r="E133" s="58">
        <v>2581.58</v>
      </c>
      <c r="F133" s="52">
        <f t="shared" si="1"/>
        <v>2581.58</v>
      </c>
    </row>
    <row r="134">
      <c r="A134" s="59">
        <v>45980.0</v>
      </c>
      <c r="B134" s="42" t="s">
        <v>31</v>
      </c>
      <c r="C134" s="43" t="s">
        <v>102</v>
      </c>
      <c r="D134" s="23">
        <v>1.0</v>
      </c>
      <c r="E134" s="44">
        <v>472.73</v>
      </c>
      <c r="F134" s="45">
        <f t="shared" si="1"/>
        <v>472.73</v>
      </c>
    </row>
    <row r="135">
      <c r="A135" s="24"/>
      <c r="B135" s="61">
        <v>2.5603796E7</v>
      </c>
      <c r="C135" s="43" t="s">
        <v>43</v>
      </c>
      <c r="D135" s="24">
        <v>1.0</v>
      </c>
      <c r="E135" s="45">
        <v>217.36</v>
      </c>
      <c r="F135" s="45">
        <f t="shared" si="1"/>
        <v>217.36</v>
      </c>
    </row>
    <row r="136">
      <c r="A136" s="59">
        <v>45979.0</v>
      </c>
      <c r="B136" s="42" t="s">
        <v>31</v>
      </c>
      <c r="C136" s="43" t="s">
        <v>146</v>
      </c>
      <c r="D136" s="23">
        <v>1.0</v>
      </c>
      <c r="E136" s="44">
        <v>141.67</v>
      </c>
      <c r="F136" s="45">
        <f t="shared" si="1"/>
        <v>141.67</v>
      </c>
    </row>
    <row r="137">
      <c r="A137" s="24"/>
      <c r="B137" s="61">
        <v>2.5603796E7</v>
      </c>
      <c r="C137" s="43" t="s">
        <v>147</v>
      </c>
      <c r="D137" s="23">
        <v>1.0</v>
      </c>
      <c r="E137" s="44">
        <v>465.21</v>
      </c>
      <c r="F137" s="45">
        <f t="shared" si="1"/>
        <v>465.21</v>
      </c>
    </row>
    <row r="138">
      <c r="A138" s="65">
        <v>45950.0</v>
      </c>
      <c r="B138" s="42" t="s">
        <v>31</v>
      </c>
      <c r="C138" s="43" t="s">
        <v>148</v>
      </c>
      <c r="D138" s="66">
        <v>4.0</v>
      </c>
      <c r="E138" s="44">
        <v>424.9</v>
      </c>
      <c r="F138" s="45">
        <f t="shared" si="1"/>
        <v>1699.6</v>
      </c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>
      <c r="A139" s="68"/>
      <c r="B139" s="69" t="s">
        <v>149</v>
      </c>
      <c r="C139" s="43" t="s">
        <v>36</v>
      </c>
      <c r="D139" s="66">
        <v>4.0</v>
      </c>
      <c r="E139" s="44">
        <v>655.2</v>
      </c>
      <c r="F139" s="45">
        <f t="shared" si="1"/>
        <v>2620.8</v>
      </c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>
      <c r="A140" s="68"/>
      <c r="B140" s="70"/>
      <c r="C140" s="63" t="s">
        <v>150</v>
      </c>
      <c r="D140" s="66">
        <v>3.0</v>
      </c>
      <c r="E140" s="44">
        <v>165.2</v>
      </c>
      <c r="F140" s="45">
        <f t="shared" si="1"/>
        <v>495.6</v>
      </c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>
      <c r="A141" s="68"/>
      <c r="B141" s="71"/>
      <c r="C141" s="63" t="s">
        <v>151</v>
      </c>
      <c r="D141" s="66">
        <v>4.0</v>
      </c>
      <c r="E141" s="44">
        <v>111.3</v>
      </c>
      <c r="F141" s="45">
        <f t="shared" si="1"/>
        <v>445.2</v>
      </c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>
      <c r="A142" s="68"/>
      <c r="B142" s="71"/>
      <c r="C142" s="63" t="s">
        <v>126</v>
      </c>
      <c r="D142" s="66">
        <v>2.0</v>
      </c>
      <c r="E142" s="44">
        <v>119.0</v>
      </c>
      <c r="F142" s="45">
        <f t="shared" si="1"/>
        <v>238</v>
      </c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>
      <c r="A143" s="68"/>
      <c r="B143" s="71"/>
      <c r="C143" s="63" t="s">
        <v>128</v>
      </c>
      <c r="D143" s="66">
        <v>4.0</v>
      </c>
      <c r="E143" s="44">
        <v>70.0</v>
      </c>
      <c r="F143" s="45">
        <f t="shared" si="1"/>
        <v>280</v>
      </c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>
      <c r="A144" s="68"/>
      <c r="B144" s="71"/>
      <c r="C144" s="63" t="s">
        <v>72</v>
      </c>
      <c r="D144" s="66">
        <v>2.0</v>
      </c>
      <c r="E144" s="44">
        <v>112.0</v>
      </c>
      <c r="F144" s="45">
        <f t="shared" si="1"/>
        <v>224</v>
      </c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>
      <c r="A145" s="68"/>
      <c r="B145" s="71"/>
      <c r="C145" s="63" t="s">
        <v>71</v>
      </c>
      <c r="D145" s="66">
        <v>4.0</v>
      </c>
      <c r="E145" s="44">
        <v>82.6</v>
      </c>
      <c r="F145" s="45">
        <f t="shared" si="1"/>
        <v>330.4</v>
      </c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>
      <c r="A146" s="68"/>
      <c r="B146" s="71"/>
      <c r="C146" s="63" t="s">
        <v>152</v>
      </c>
      <c r="D146" s="66">
        <v>2.0</v>
      </c>
      <c r="E146" s="44">
        <v>405.36</v>
      </c>
      <c r="F146" s="45">
        <f t="shared" si="1"/>
        <v>810.72</v>
      </c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>
      <c r="A147" s="68"/>
      <c r="B147" s="71"/>
      <c r="C147" s="63" t="s">
        <v>153</v>
      </c>
      <c r="D147" s="66">
        <v>4.0</v>
      </c>
      <c r="E147" s="44">
        <v>370.3</v>
      </c>
      <c r="F147" s="45">
        <f t="shared" si="1"/>
        <v>1481.2</v>
      </c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>
      <c r="A148" s="68"/>
      <c r="B148" s="71"/>
      <c r="C148" s="63" t="s">
        <v>154</v>
      </c>
      <c r="D148" s="66">
        <v>6.0</v>
      </c>
      <c r="E148" s="44">
        <v>313.25</v>
      </c>
      <c r="F148" s="45">
        <f t="shared" si="1"/>
        <v>1879.5</v>
      </c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>
      <c r="A149" s="68"/>
      <c r="B149" s="71"/>
      <c r="C149" s="63" t="s">
        <v>155</v>
      </c>
      <c r="D149" s="66">
        <v>2.0</v>
      </c>
      <c r="E149" s="44">
        <v>315.9</v>
      </c>
      <c r="F149" s="45">
        <f t="shared" si="1"/>
        <v>631.8</v>
      </c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>
      <c r="A150" s="68"/>
      <c r="B150" s="71"/>
      <c r="C150" s="63" t="s">
        <v>156</v>
      </c>
      <c r="D150" s="66">
        <v>2.0</v>
      </c>
      <c r="E150" s="44">
        <v>342.65</v>
      </c>
      <c r="F150" s="45">
        <f t="shared" si="1"/>
        <v>685.3</v>
      </c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>
      <c r="A151" s="24"/>
      <c r="B151" s="29"/>
      <c r="C151" s="43" t="s">
        <v>157</v>
      </c>
      <c r="D151" s="23">
        <v>4.0</v>
      </c>
      <c r="E151" s="44">
        <v>121.1</v>
      </c>
      <c r="F151" s="45">
        <f t="shared" si="1"/>
        <v>484.4</v>
      </c>
    </row>
    <row r="152">
      <c r="A152" s="24"/>
      <c r="B152" s="29"/>
      <c r="C152" s="43" t="s">
        <v>158</v>
      </c>
      <c r="D152" s="23">
        <v>4.0</v>
      </c>
      <c r="E152" s="44">
        <v>90.72</v>
      </c>
      <c r="F152" s="45">
        <f t="shared" si="1"/>
        <v>362.88</v>
      </c>
    </row>
    <row r="153">
      <c r="A153" s="24"/>
      <c r="B153" s="29"/>
      <c r="C153" s="43" t="s">
        <v>159</v>
      </c>
      <c r="D153" s="23">
        <v>2.0</v>
      </c>
      <c r="E153" s="44">
        <v>824.39</v>
      </c>
      <c r="F153" s="45">
        <f t="shared" si="1"/>
        <v>1648.78</v>
      </c>
    </row>
    <row r="154">
      <c r="A154" s="24"/>
      <c r="B154" s="29"/>
      <c r="C154" s="43" t="s">
        <v>160</v>
      </c>
      <c r="D154" s="23">
        <v>0.0</v>
      </c>
      <c r="E154" s="44">
        <v>336.27</v>
      </c>
      <c r="F154" s="45">
        <f t="shared" si="1"/>
        <v>0</v>
      </c>
    </row>
    <row r="155">
      <c r="A155" s="24"/>
      <c r="B155" s="29"/>
      <c r="C155" s="43" t="s">
        <v>161</v>
      </c>
      <c r="D155" s="23">
        <v>2.0</v>
      </c>
      <c r="E155" s="44">
        <v>371.97</v>
      </c>
      <c r="F155" s="45">
        <f t="shared" si="1"/>
        <v>743.94</v>
      </c>
    </row>
    <row r="156">
      <c r="A156" s="24"/>
      <c r="B156" s="29"/>
      <c r="C156" s="43" t="s">
        <v>162</v>
      </c>
      <c r="D156" s="23">
        <v>4.0</v>
      </c>
      <c r="E156" s="44">
        <v>34.3</v>
      </c>
      <c r="F156" s="45">
        <f t="shared" si="1"/>
        <v>137.2</v>
      </c>
    </row>
    <row r="157">
      <c r="A157" s="24"/>
      <c r="B157" s="29"/>
      <c r="C157" s="43" t="s">
        <v>163</v>
      </c>
      <c r="D157" s="23">
        <v>5.0</v>
      </c>
      <c r="E157" s="44">
        <v>31.5</v>
      </c>
      <c r="F157" s="45">
        <f t="shared" si="1"/>
        <v>157.5</v>
      </c>
    </row>
    <row r="158">
      <c r="A158" s="24"/>
      <c r="B158" s="29"/>
      <c r="C158" s="43" t="s">
        <v>34</v>
      </c>
      <c r="D158" s="23">
        <v>4.0</v>
      </c>
      <c r="E158" s="44">
        <v>980.9</v>
      </c>
      <c r="F158" s="45">
        <f t="shared" si="1"/>
        <v>3923.6</v>
      </c>
    </row>
    <row r="159">
      <c r="A159" s="24"/>
      <c r="B159" s="29"/>
      <c r="C159" s="43" t="s">
        <v>164</v>
      </c>
      <c r="D159" s="23">
        <v>1.0</v>
      </c>
      <c r="E159" s="44">
        <v>114.0</v>
      </c>
      <c r="F159" s="45">
        <f t="shared" si="1"/>
        <v>114</v>
      </c>
    </row>
    <row r="160">
      <c r="A160" s="24"/>
      <c r="B160" s="29"/>
      <c r="C160" s="43" t="s">
        <v>165</v>
      </c>
      <c r="D160" s="23">
        <v>1.0</v>
      </c>
      <c r="E160" s="44">
        <v>52.44</v>
      </c>
      <c r="F160" s="45">
        <f t="shared" si="1"/>
        <v>52.44</v>
      </c>
    </row>
    <row r="161">
      <c r="A161" s="24"/>
      <c r="B161" s="29"/>
      <c r="C161" s="43" t="s">
        <v>166</v>
      </c>
      <c r="D161" s="23">
        <v>1.0</v>
      </c>
      <c r="E161" s="44">
        <v>1200.0</v>
      </c>
      <c r="F161" s="45">
        <f t="shared" si="1"/>
        <v>1200</v>
      </c>
    </row>
    <row r="162">
      <c r="A162" s="24"/>
      <c r="B162" s="29"/>
      <c r="C162" s="43" t="s">
        <v>167</v>
      </c>
      <c r="D162" s="23">
        <v>1.0</v>
      </c>
      <c r="E162" s="44">
        <v>564.29</v>
      </c>
      <c r="F162" s="45">
        <f t="shared" si="1"/>
        <v>564.29</v>
      </c>
    </row>
    <row r="163">
      <c r="A163" s="24"/>
      <c r="B163" s="29"/>
      <c r="C163" s="43" t="s">
        <v>168</v>
      </c>
      <c r="D163" s="23">
        <v>5.0</v>
      </c>
      <c r="E163" s="44">
        <v>308.29</v>
      </c>
      <c r="F163" s="45">
        <f t="shared" si="1"/>
        <v>1541.45</v>
      </c>
    </row>
    <row r="164">
      <c r="A164" s="24"/>
      <c r="B164" s="29"/>
      <c r="C164" s="43" t="s">
        <v>169</v>
      </c>
      <c r="D164" s="23">
        <v>5.0</v>
      </c>
      <c r="E164" s="44">
        <v>596.26</v>
      </c>
      <c r="F164" s="45">
        <f t="shared" si="1"/>
        <v>2981.3</v>
      </c>
    </row>
    <row r="165">
      <c r="A165" s="24"/>
      <c r="B165" s="29"/>
      <c r="C165" s="43" t="s">
        <v>170</v>
      </c>
      <c r="D165" s="23">
        <v>1.0</v>
      </c>
      <c r="E165" s="44">
        <v>53.9</v>
      </c>
      <c r="F165" s="45">
        <f t="shared" si="1"/>
        <v>53.9</v>
      </c>
    </row>
    <row r="166">
      <c r="A166" s="24"/>
      <c r="B166" s="29"/>
      <c r="C166" s="43" t="s">
        <v>102</v>
      </c>
      <c r="D166" s="23">
        <v>1.0</v>
      </c>
      <c r="E166" s="44">
        <v>335.49</v>
      </c>
      <c r="F166" s="45">
        <f t="shared" si="1"/>
        <v>335.49</v>
      </c>
    </row>
    <row r="167">
      <c r="A167" s="59">
        <v>45947.0</v>
      </c>
      <c r="B167" s="42" t="s">
        <v>31</v>
      </c>
      <c r="C167" s="43" t="s">
        <v>171</v>
      </c>
      <c r="D167" s="23">
        <v>5.0</v>
      </c>
      <c r="E167" s="44">
        <v>153.72</v>
      </c>
      <c r="F167" s="45">
        <f t="shared" si="1"/>
        <v>768.6</v>
      </c>
    </row>
    <row r="168">
      <c r="A168" s="24"/>
      <c r="B168" s="28" t="s">
        <v>172</v>
      </c>
      <c r="C168" s="43" t="s">
        <v>173</v>
      </c>
      <c r="D168" s="23">
        <v>5.0</v>
      </c>
      <c r="E168" s="44">
        <v>85.96</v>
      </c>
      <c r="F168" s="45">
        <f t="shared" si="1"/>
        <v>429.8</v>
      </c>
    </row>
    <row r="169">
      <c r="A169" s="24"/>
      <c r="B169" s="29"/>
      <c r="C169" s="43" t="s">
        <v>174</v>
      </c>
      <c r="D169" s="23">
        <v>5.0</v>
      </c>
      <c r="E169" s="44">
        <v>78.46</v>
      </c>
      <c r="F169" s="45">
        <f t="shared" si="1"/>
        <v>392.3</v>
      </c>
    </row>
    <row r="170">
      <c r="A170" s="24"/>
      <c r="B170" s="29"/>
      <c r="C170" s="43" t="s">
        <v>86</v>
      </c>
      <c r="D170" s="23">
        <v>2.0</v>
      </c>
      <c r="E170" s="44">
        <v>77.0</v>
      </c>
      <c r="F170" s="45">
        <f t="shared" si="1"/>
        <v>154</v>
      </c>
    </row>
    <row r="171">
      <c r="A171" s="24"/>
      <c r="B171" s="29"/>
      <c r="C171" s="43" t="s">
        <v>175</v>
      </c>
      <c r="D171" s="23">
        <v>2.0</v>
      </c>
      <c r="E171" s="44">
        <v>69.3</v>
      </c>
      <c r="F171" s="45">
        <f t="shared" si="1"/>
        <v>138.6</v>
      </c>
    </row>
    <row r="172">
      <c r="A172" s="24"/>
      <c r="B172" s="29"/>
      <c r="C172" s="43" t="s">
        <v>109</v>
      </c>
      <c r="D172" s="23">
        <v>1.0</v>
      </c>
      <c r="E172" s="44">
        <v>29.25</v>
      </c>
      <c r="F172" s="45">
        <f t="shared" si="1"/>
        <v>29.25</v>
      </c>
    </row>
    <row r="173">
      <c r="A173" s="59">
        <v>45957.0</v>
      </c>
      <c r="B173" s="42" t="s">
        <v>31</v>
      </c>
      <c r="C173" s="43" t="s">
        <v>148</v>
      </c>
      <c r="D173" s="23">
        <v>2.0</v>
      </c>
      <c r="E173" s="44">
        <v>424.9</v>
      </c>
      <c r="F173" s="45">
        <f t="shared" si="1"/>
        <v>849.8</v>
      </c>
    </row>
    <row r="174">
      <c r="A174" s="24"/>
      <c r="B174" s="43" t="s">
        <v>176</v>
      </c>
      <c r="C174" s="43" t="s">
        <v>177</v>
      </c>
      <c r="D174" s="23">
        <v>2.0</v>
      </c>
      <c r="E174" s="44">
        <v>116.2</v>
      </c>
      <c r="F174" s="45">
        <f t="shared" si="1"/>
        <v>232.4</v>
      </c>
    </row>
    <row r="175">
      <c r="A175" s="24"/>
      <c r="B175" s="29"/>
      <c r="C175" s="43" t="s">
        <v>178</v>
      </c>
      <c r="D175" s="23">
        <v>3.0</v>
      </c>
      <c r="E175" s="44">
        <v>192.6</v>
      </c>
      <c r="F175" s="45">
        <f t="shared" si="1"/>
        <v>577.8</v>
      </c>
    </row>
    <row r="176">
      <c r="A176" s="24"/>
      <c r="B176" s="29"/>
      <c r="C176" s="43" t="s">
        <v>179</v>
      </c>
      <c r="D176" s="23">
        <v>6.0</v>
      </c>
      <c r="E176" s="44">
        <v>60.9</v>
      </c>
      <c r="F176" s="45">
        <f t="shared" si="1"/>
        <v>365.4</v>
      </c>
    </row>
    <row r="177">
      <c r="A177" s="24"/>
      <c r="B177" s="29"/>
      <c r="C177" s="43" t="s">
        <v>180</v>
      </c>
      <c r="D177" s="23">
        <v>2.0</v>
      </c>
      <c r="E177" s="44">
        <v>354.2</v>
      </c>
      <c r="F177" s="45">
        <f t="shared" si="1"/>
        <v>708.4</v>
      </c>
    </row>
    <row r="178">
      <c r="A178" s="24"/>
      <c r="B178" s="29"/>
      <c r="C178" s="43" t="s">
        <v>181</v>
      </c>
      <c r="D178" s="23">
        <v>2.0</v>
      </c>
      <c r="E178" s="44">
        <v>220.4</v>
      </c>
      <c r="F178" s="45">
        <f t="shared" si="1"/>
        <v>440.8</v>
      </c>
    </row>
    <row r="179">
      <c r="A179" s="24"/>
      <c r="B179" s="29"/>
      <c r="C179" s="43" t="s">
        <v>48</v>
      </c>
      <c r="D179" s="23">
        <v>10.0</v>
      </c>
      <c r="E179" s="44">
        <v>9.88</v>
      </c>
      <c r="F179" s="45">
        <f t="shared" si="1"/>
        <v>98.8</v>
      </c>
    </row>
    <row r="180">
      <c r="A180" s="24"/>
      <c r="B180" s="29"/>
      <c r="C180" s="43" t="s">
        <v>49</v>
      </c>
      <c r="D180" s="23">
        <v>10.0</v>
      </c>
      <c r="E180" s="44">
        <v>9.12</v>
      </c>
      <c r="F180" s="45">
        <f t="shared" si="1"/>
        <v>91.2</v>
      </c>
    </row>
    <row r="181">
      <c r="A181" s="24"/>
      <c r="B181" s="29"/>
      <c r="C181" s="43" t="s">
        <v>182</v>
      </c>
      <c r="D181" s="23">
        <v>50.0</v>
      </c>
      <c r="E181" s="44">
        <v>1.51</v>
      </c>
      <c r="F181" s="45">
        <f t="shared" si="1"/>
        <v>75.5</v>
      </c>
    </row>
    <row r="182">
      <c r="A182" s="24"/>
      <c r="B182" s="29"/>
      <c r="C182" s="43" t="s">
        <v>183</v>
      </c>
      <c r="D182" s="23">
        <v>2.0</v>
      </c>
      <c r="E182" s="44">
        <v>217.0</v>
      </c>
      <c r="F182" s="45">
        <f t="shared" si="1"/>
        <v>434</v>
      </c>
    </row>
    <row r="183">
      <c r="A183" s="24"/>
      <c r="B183" s="29"/>
      <c r="C183" s="43" t="s">
        <v>184</v>
      </c>
      <c r="D183" s="23">
        <v>2.0</v>
      </c>
      <c r="E183" s="44">
        <v>116.2</v>
      </c>
      <c r="F183" s="45">
        <f t="shared" si="1"/>
        <v>232.4</v>
      </c>
    </row>
    <row r="184">
      <c r="A184" s="24"/>
      <c r="B184" s="29"/>
      <c r="C184" s="43" t="s">
        <v>185</v>
      </c>
      <c r="D184" s="23">
        <v>2.0</v>
      </c>
      <c r="E184" s="44">
        <v>14.0</v>
      </c>
      <c r="F184" s="45">
        <f t="shared" si="1"/>
        <v>28</v>
      </c>
    </row>
    <row r="185">
      <c r="A185" s="24"/>
      <c r="B185" s="29"/>
      <c r="C185" s="43" t="s">
        <v>186</v>
      </c>
      <c r="D185" s="23">
        <v>4.0</v>
      </c>
      <c r="E185" s="44">
        <v>117.6</v>
      </c>
      <c r="F185" s="45">
        <f t="shared" si="1"/>
        <v>470.4</v>
      </c>
    </row>
    <row r="186">
      <c r="A186" s="24"/>
      <c r="B186" s="29"/>
      <c r="C186" s="43" t="s">
        <v>180</v>
      </c>
      <c r="D186" s="23">
        <v>2.0</v>
      </c>
      <c r="E186" s="44">
        <v>354.2</v>
      </c>
      <c r="F186" s="45">
        <f t="shared" si="1"/>
        <v>708.4</v>
      </c>
    </row>
    <row r="187">
      <c r="A187" s="24"/>
      <c r="B187" s="29"/>
      <c r="C187" s="43" t="s">
        <v>147</v>
      </c>
      <c r="D187" s="23">
        <v>2.0</v>
      </c>
      <c r="E187" s="44">
        <v>465.21</v>
      </c>
      <c r="F187" s="45">
        <f t="shared" si="1"/>
        <v>930.42</v>
      </c>
    </row>
    <row r="188">
      <c r="A188" s="24"/>
      <c r="B188" s="29"/>
      <c r="C188" s="43" t="s">
        <v>187</v>
      </c>
      <c r="D188" s="23">
        <v>2.0</v>
      </c>
      <c r="E188" s="44">
        <v>51.7</v>
      </c>
      <c r="F188" s="45">
        <f t="shared" si="1"/>
        <v>103.4</v>
      </c>
    </row>
    <row r="189">
      <c r="A189" s="24"/>
      <c r="B189" s="29"/>
      <c r="C189" s="43" t="s">
        <v>188</v>
      </c>
      <c r="D189" s="23">
        <v>2.0</v>
      </c>
      <c r="E189" s="44">
        <v>83.1</v>
      </c>
      <c r="F189" s="45">
        <f t="shared" si="1"/>
        <v>166.2</v>
      </c>
    </row>
    <row r="190">
      <c r="A190" s="24"/>
      <c r="B190" s="29"/>
      <c r="C190" s="43" t="s">
        <v>189</v>
      </c>
      <c r="D190" s="23">
        <v>2.0</v>
      </c>
      <c r="E190" s="44">
        <v>54.85</v>
      </c>
      <c r="F190" s="45">
        <f t="shared" si="1"/>
        <v>109.7</v>
      </c>
    </row>
    <row r="191">
      <c r="A191" s="24"/>
      <c r="B191" s="29"/>
      <c r="C191" s="43" t="s">
        <v>190</v>
      </c>
      <c r="D191" s="23">
        <v>2.0</v>
      </c>
      <c r="E191" s="44">
        <v>676.26</v>
      </c>
      <c r="F191" s="45">
        <f t="shared" si="1"/>
        <v>1352.52</v>
      </c>
    </row>
    <row r="192">
      <c r="A192" s="24"/>
      <c r="B192" s="29"/>
      <c r="C192" s="43" t="s">
        <v>119</v>
      </c>
      <c r="D192" s="23">
        <v>2.0</v>
      </c>
      <c r="E192" s="44">
        <v>833.06</v>
      </c>
      <c r="F192" s="45">
        <f t="shared" si="1"/>
        <v>1666.12</v>
      </c>
    </row>
    <row r="193">
      <c r="A193" s="24"/>
      <c r="B193" s="29"/>
      <c r="C193" s="43" t="s">
        <v>191</v>
      </c>
      <c r="D193" s="23">
        <v>2.0</v>
      </c>
      <c r="E193" s="44">
        <v>509.73</v>
      </c>
      <c r="F193" s="45">
        <f t="shared" si="1"/>
        <v>1019.46</v>
      </c>
    </row>
    <row r="194">
      <c r="A194" s="24"/>
      <c r="B194" s="29"/>
      <c r="C194" s="43" t="s">
        <v>192</v>
      </c>
      <c r="D194" s="23">
        <v>2.0</v>
      </c>
      <c r="E194" s="44">
        <v>578.83</v>
      </c>
      <c r="F194" s="45">
        <f t="shared" si="1"/>
        <v>1157.66</v>
      </c>
    </row>
    <row r="195">
      <c r="A195" s="24"/>
      <c r="B195" s="29"/>
      <c r="C195" s="43" t="s">
        <v>98</v>
      </c>
      <c r="D195" s="23">
        <v>1.0</v>
      </c>
      <c r="E195" s="44">
        <v>341.6</v>
      </c>
      <c r="F195" s="45">
        <f t="shared" si="1"/>
        <v>341.6</v>
      </c>
    </row>
    <row r="196">
      <c r="A196" s="24"/>
      <c r="B196" s="29"/>
      <c r="C196" s="43" t="s">
        <v>193</v>
      </c>
      <c r="D196" s="23">
        <v>1.0</v>
      </c>
      <c r="E196" s="44">
        <v>163.1</v>
      </c>
      <c r="F196" s="45">
        <f t="shared" si="1"/>
        <v>163.1</v>
      </c>
    </row>
    <row r="197">
      <c r="A197" s="24"/>
      <c r="B197" s="29"/>
      <c r="C197" s="43" t="s">
        <v>194</v>
      </c>
      <c r="D197" s="23">
        <v>1.0</v>
      </c>
      <c r="E197" s="44">
        <v>43.4</v>
      </c>
      <c r="F197" s="45">
        <f t="shared" si="1"/>
        <v>43.4</v>
      </c>
    </row>
    <row r="198">
      <c r="A198" s="24"/>
      <c r="B198" s="29"/>
      <c r="C198" s="43" t="s">
        <v>170</v>
      </c>
      <c r="D198" s="23">
        <v>1.0</v>
      </c>
      <c r="E198" s="44">
        <v>53.9</v>
      </c>
      <c r="F198" s="45">
        <f t="shared" si="1"/>
        <v>53.9</v>
      </c>
    </row>
    <row r="199">
      <c r="A199" s="24"/>
      <c r="B199" s="29"/>
      <c r="C199" s="43" t="s">
        <v>195</v>
      </c>
      <c r="D199" s="23">
        <v>2.0</v>
      </c>
      <c r="E199" s="44">
        <v>623.2</v>
      </c>
      <c r="F199" s="45">
        <f t="shared" si="1"/>
        <v>1246.4</v>
      </c>
    </row>
    <row r="200">
      <c r="A200" s="24"/>
      <c r="B200" s="29"/>
      <c r="C200" s="43" t="s">
        <v>196</v>
      </c>
      <c r="D200" s="23">
        <v>4.0</v>
      </c>
      <c r="E200" s="44">
        <v>456.75</v>
      </c>
      <c r="F200" s="45">
        <f t="shared" si="1"/>
        <v>1827</v>
      </c>
    </row>
    <row r="201">
      <c r="A201" s="24"/>
      <c r="B201" s="29"/>
      <c r="C201" s="43" t="s">
        <v>197</v>
      </c>
      <c r="D201" s="23">
        <v>4.0</v>
      </c>
      <c r="E201" s="44">
        <v>595.2</v>
      </c>
      <c r="F201" s="45">
        <f t="shared" si="1"/>
        <v>2380.8</v>
      </c>
    </row>
    <row r="202">
      <c r="A202" s="24"/>
      <c r="B202" s="29"/>
      <c r="C202" s="43" t="s">
        <v>198</v>
      </c>
      <c r="D202" s="23">
        <v>2.0</v>
      </c>
      <c r="E202" s="44">
        <v>728.97</v>
      </c>
      <c r="F202" s="45">
        <f t="shared" si="1"/>
        <v>1457.94</v>
      </c>
    </row>
    <row r="203">
      <c r="A203" s="24"/>
      <c r="B203" s="29"/>
      <c r="C203" s="43" t="s">
        <v>199</v>
      </c>
      <c r="D203" s="23">
        <v>4.0</v>
      </c>
      <c r="E203" s="44">
        <v>246.89</v>
      </c>
      <c r="F203" s="45">
        <f t="shared" si="1"/>
        <v>987.56</v>
      </c>
    </row>
    <row r="204">
      <c r="A204" s="24"/>
      <c r="B204" s="29"/>
      <c r="C204" s="43" t="s">
        <v>200</v>
      </c>
      <c r="D204" s="23">
        <v>4.0</v>
      </c>
      <c r="E204" s="44">
        <v>203.83</v>
      </c>
      <c r="F204" s="45">
        <f t="shared" si="1"/>
        <v>815.32</v>
      </c>
    </row>
    <row r="205">
      <c r="A205" s="24"/>
      <c r="B205" s="29"/>
      <c r="C205" s="43" t="s">
        <v>201</v>
      </c>
      <c r="D205" s="23">
        <v>4.0</v>
      </c>
      <c r="E205" s="44">
        <v>176.12</v>
      </c>
      <c r="F205" s="45">
        <f t="shared" si="1"/>
        <v>704.48</v>
      </c>
    </row>
    <row r="206">
      <c r="A206" s="24"/>
      <c r="B206" s="29"/>
      <c r="C206" s="43" t="s">
        <v>202</v>
      </c>
      <c r="D206" s="23">
        <v>4.0</v>
      </c>
      <c r="E206" s="44">
        <v>157.07</v>
      </c>
      <c r="F206" s="45">
        <f t="shared" si="1"/>
        <v>628.28</v>
      </c>
    </row>
    <row r="207">
      <c r="A207" s="24"/>
      <c r="B207" s="29"/>
      <c r="C207" s="43" t="s">
        <v>203</v>
      </c>
      <c r="D207" s="23">
        <v>4.0</v>
      </c>
      <c r="E207" s="44">
        <v>223.5</v>
      </c>
      <c r="F207" s="45">
        <f t="shared" si="1"/>
        <v>894</v>
      </c>
    </row>
    <row r="208">
      <c r="A208" s="24"/>
      <c r="B208" s="29"/>
      <c r="C208" s="43" t="s">
        <v>204</v>
      </c>
      <c r="D208" s="23">
        <v>5.0</v>
      </c>
      <c r="E208" s="44">
        <v>204.93</v>
      </c>
      <c r="F208" s="45">
        <f t="shared" si="1"/>
        <v>1024.65</v>
      </c>
    </row>
    <row r="209">
      <c r="A209" s="24"/>
      <c r="B209" s="29"/>
      <c r="C209" s="43" t="s">
        <v>205</v>
      </c>
      <c r="D209" s="23">
        <v>1.0</v>
      </c>
      <c r="E209" s="44">
        <v>131.39</v>
      </c>
      <c r="F209" s="45">
        <f t="shared" si="1"/>
        <v>131.39</v>
      </c>
    </row>
    <row r="210">
      <c r="A210" s="24"/>
      <c r="B210" s="29"/>
      <c r="C210" s="43" t="s">
        <v>206</v>
      </c>
      <c r="D210" s="23">
        <v>5.0</v>
      </c>
      <c r="E210" s="44">
        <v>371.64</v>
      </c>
      <c r="F210" s="45">
        <f t="shared" si="1"/>
        <v>1858.2</v>
      </c>
    </row>
    <row r="211">
      <c r="A211" s="24"/>
      <c r="B211" s="29"/>
      <c r="C211" s="43" t="s">
        <v>207</v>
      </c>
      <c r="D211" s="23">
        <v>10.0</v>
      </c>
      <c r="E211" s="44">
        <v>7.15</v>
      </c>
      <c r="F211" s="45">
        <f t="shared" si="1"/>
        <v>71.5</v>
      </c>
    </row>
    <row r="212">
      <c r="A212" s="24"/>
      <c r="B212" s="29"/>
      <c r="C212" s="43" t="s">
        <v>208</v>
      </c>
      <c r="D212" s="23">
        <v>5.0</v>
      </c>
      <c r="E212" s="44">
        <v>7.8</v>
      </c>
      <c r="F212" s="45">
        <f t="shared" si="1"/>
        <v>39</v>
      </c>
    </row>
    <row r="213">
      <c r="A213" s="24"/>
      <c r="B213" s="29"/>
      <c r="C213" s="43" t="s">
        <v>209</v>
      </c>
      <c r="D213" s="23">
        <v>5.0</v>
      </c>
      <c r="E213" s="44">
        <v>2.6</v>
      </c>
      <c r="F213" s="45">
        <f t="shared" si="1"/>
        <v>13</v>
      </c>
    </row>
    <row r="214">
      <c r="A214" s="24"/>
      <c r="B214" s="29"/>
      <c r="C214" s="43" t="s">
        <v>210</v>
      </c>
      <c r="D214" s="23">
        <v>4.0</v>
      </c>
      <c r="E214" s="44">
        <v>13.65</v>
      </c>
      <c r="F214" s="45">
        <f t="shared" si="1"/>
        <v>54.6</v>
      </c>
    </row>
    <row r="215">
      <c r="A215" s="24"/>
      <c r="B215" s="29"/>
      <c r="C215" s="43" t="s">
        <v>211</v>
      </c>
      <c r="D215" s="23">
        <v>2.0</v>
      </c>
      <c r="E215" s="44">
        <v>7.15</v>
      </c>
      <c r="F215" s="45">
        <f t="shared" si="1"/>
        <v>14.3</v>
      </c>
    </row>
    <row r="216">
      <c r="A216" s="24"/>
      <c r="B216" s="29"/>
      <c r="C216" s="43" t="s">
        <v>105</v>
      </c>
      <c r="D216" s="23">
        <v>20.0</v>
      </c>
      <c r="E216" s="44">
        <v>3.42</v>
      </c>
      <c r="F216" s="45">
        <f t="shared" si="1"/>
        <v>68.4</v>
      </c>
    </row>
    <row r="217">
      <c r="A217" s="59">
        <v>45964.0</v>
      </c>
      <c r="B217" s="42" t="s">
        <v>31</v>
      </c>
      <c r="C217" s="43" t="s">
        <v>119</v>
      </c>
      <c r="D217" s="23">
        <v>2.0</v>
      </c>
      <c r="E217" s="44">
        <v>833.06</v>
      </c>
      <c r="F217" s="45">
        <f t="shared" si="1"/>
        <v>1666.12</v>
      </c>
    </row>
    <row r="218">
      <c r="A218" s="24"/>
      <c r="B218" s="28" t="s">
        <v>212</v>
      </c>
      <c r="C218" s="43" t="s">
        <v>120</v>
      </c>
      <c r="D218" s="23">
        <v>1.0</v>
      </c>
      <c r="E218" s="44">
        <v>104.95</v>
      </c>
      <c r="F218" s="45">
        <f t="shared" si="1"/>
        <v>104.95</v>
      </c>
    </row>
    <row r="219">
      <c r="A219" s="24"/>
      <c r="B219" s="29"/>
      <c r="C219" s="43" t="s">
        <v>104</v>
      </c>
      <c r="D219" s="23">
        <v>20.0</v>
      </c>
      <c r="E219" s="44">
        <v>4.56</v>
      </c>
      <c r="F219" s="45">
        <f t="shared" si="1"/>
        <v>91.2</v>
      </c>
    </row>
    <row r="220">
      <c r="A220" s="24"/>
      <c r="B220" s="29"/>
      <c r="C220" s="43" t="s">
        <v>45</v>
      </c>
      <c r="D220" s="23">
        <v>20.0</v>
      </c>
      <c r="E220" s="44">
        <v>69.7</v>
      </c>
      <c r="F220" s="45">
        <f t="shared" si="1"/>
        <v>1394</v>
      </c>
    </row>
    <row r="221">
      <c r="A221" s="24"/>
      <c r="B221" s="29"/>
      <c r="C221" s="43" t="s">
        <v>122</v>
      </c>
      <c r="D221" s="23">
        <v>1.0</v>
      </c>
      <c r="E221" s="44">
        <v>155.24</v>
      </c>
      <c r="F221" s="45">
        <f t="shared" si="1"/>
        <v>155.24</v>
      </c>
    </row>
    <row r="222">
      <c r="A222" s="24"/>
      <c r="B222" s="29"/>
      <c r="C222" s="43" t="s">
        <v>123</v>
      </c>
      <c r="D222" s="23">
        <v>3.0</v>
      </c>
      <c r="E222" s="44">
        <v>116.2</v>
      </c>
      <c r="F222" s="45">
        <f t="shared" si="1"/>
        <v>348.6</v>
      </c>
    </row>
    <row r="223">
      <c r="A223" s="59">
        <v>45968.0</v>
      </c>
      <c r="B223" s="42" t="s">
        <v>31</v>
      </c>
      <c r="C223" s="43" t="s">
        <v>89</v>
      </c>
      <c r="D223" s="23">
        <v>4.0</v>
      </c>
      <c r="E223" s="44">
        <v>56.0</v>
      </c>
      <c r="F223" s="45">
        <f t="shared" si="1"/>
        <v>224</v>
      </c>
    </row>
    <row r="224">
      <c r="A224" s="24"/>
      <c r="B224" s="28" t="s">
        <v>213</v>
      </c>
      <c r="C224" s="43" t="s">
        <v>214</v>
      </c>
      <c r="D224" s="23">
        <v>2.0</v>
      </c>
      <c r="E224" s="44">
        <v>118.3</v>
      </c>
      <c r="F224" s="45">
        <f t="shared" si="1"/>
        <v>236.6</v>
      </c>
    </row>
    <row r="225">
      <c r="A225" s="24"/>
      <c r="B225" s="29"/>
      <c r="C225" s="43" t="s">
        <v>215</v>
      </c>
      <c r="D225" s="23">
        <v>3.0</v>
      </c>
      <c r="E225" s="44">
        <v>178.2</v>
      </c>
      <c r="F225" s="45">
        <f t="shared" si="1"/>
        <v>534.6</v>
      </c>
    </row>
    <row r="226">
      <c r="A226" s="24"/>
      <c r="B226" s="29"/>
      <c r="C226" s="43" t="s">
        <v>179</v>
      </c>
      <c r="D226" s="23">
        <v>2.0</v>
      </c>
      <c r="E226" s="44">
        <v>60.9</v>
      </c>
      <c r="F226" s="45">
        <f t="shared" si="1"/>
        <v>121.8</v>
      </c>
    </row>
    <row r="227">
      <c r="A227" s="24"/>
      <c r="B227" s="29"/>
      <c r="C227" s="43" t="s">
        <v>216</v>
      </c>
      <c r="D227" s="23">
        <v>2.0</v>
      </c>
      <c r="E227" s="44">
        <v>50.4</v>
      </c>
      <c r="F227" s="45">
        <f t="shared" si="1"/>
        <v>100.8</v>
      </c>
    </row>
    <row r="228">
      <c r="A228" s="24"/>
      <c r="B228" s="29"/>
      <c r="C228" s="43" t="s">
        <v>170</v>
      </c>
      <c r="D228" s="23">
        <v>2.0</v>
      </c>
      <c r="E228" s="44">
        <v>53.9</v>
      </c>
      <c r="F228" s="45">
        <f t="shared" si="1"/>
        <v>107.8</v>
      </c>
    </row>
    <row r="229">
      <c r="A229" s="24"/>
      <c r="B229" s="29"/>
      <c r="C229" s="43" t="s">
        <v>146</v>
      </c>
      <c r="D229" s="23">
        <v>5.0</v>
      </c>
      <c r="E229" s="44">
        <v>141.67</v>
      </c>
      <c r="F229" s="45">
        <f t="shared" si="1"/>
        <v>708.35</v>
      </c>
    </row>
    <row r="230">
      <c r="A230" s="24"/>
      <c r="B230" s="29"/>
      <c r="C230" s="43" t="s">
        <v>217</v>
      </c>
      <c r="D230" s="23">
        <v>5.0</v>
      </c>
      <c r="E230" s="44">
        <v>169.46</v>
      </c>
      <c r="F230" s="45">
        <f t="shared" si="1"/>
        <v>847.3</v>
      </c>
    </row>
    <row r="231">
      <c r="A231" s="24"/>
      <c r="B231" s="29"/>
      <c r="C231" s="43" t="s">
        <v>126</v>
      </c>
      <c r="D231" s="23">
        <v>4.0</v>
      </c>
      <c r="E231" s="44">
        <v>119.0</v>
      </c>
      <c r="F231" s="45">
        <f t="shared" si="1"/>
        <v>476</v>
      </c>
    </row>
    <row r="232">
      <c r="A232" s="24"/>
      <c r="B232" s="29"/>
      <c r="C232" s="43" t="s">
        <v>136</v>
      </c>
      <c r="D232" s="23">
        <v>5.0</v>
      </c>
      <c r="E232" s="44">
        <v>153.72</v>
      </c>
      <c r="F232" s="45">
        <f t="shared" si="1"/>
        <v>768.6</v>
      </c>
    </row>
    <row r="233">
      <c r="A233" s="24"/>
      <c r="B233" s="29"/>
      <c r="C233" s="43" t="s">
        <v>218</v>
      </c>
      <c r="D233" s="23">
        <v>5.0</v>
      </c>
      <c r="E233" s="44">
        <v>142.8</v>
      </c>
      <c r="F233" s="45">
        <f t="shared" si="1"/>
        <v>714</v>
      </c>
    </row>
    <row r="234">
      <c r="A234" s="24"/>
      <c r="B234" s="29"/>
      <c r="C234" s="43" t="s">
        <v>219</v>
      </c>
      <c r="D234" s="23">
        <v>1.0</v>
      </c>
      <c r="E234" s="44">
        <v>209.0</v>
      </c>
      <c r="F234" s="45">
        <f t="shared" si="1"/>
        <v>209</v>
      </c>
    </row>
    <row r="235">
      <c r="A235" s="24"/>
      <c r="B235" s="29"/>
      <c r="C235" s="43" t="s">
        <v>220</v>
      </c>
      <c r="D235" s="23">
        <v>1.0</v>
      </c>
      <c r="E235" s="44">
        <v>27.3</v>
      </c>
      <c r="F235" s="45">
        <f t="shared" si="1"/>
        <v>27.3</v>
      </c>
    </row>
    <row r="236">
      <c r="A236" s="24"/>
      <c r="B236" s="29"/>
      <c r="C236" s="43" t="s">
        <v>221</v>
      </c>
      <c r="D236" s="23">
        <v>3.0</v>
      </c>
      <c r="E236" s="44">
        <v>18.2</v>
      </c>
      <c r="F236" s="45">
        <f t="shared" si="1"/>
        <v>54.6</v>
      </c>
    </row>
    <row r="237">
      <c r="A237" s="24"/>
      <c r="B237" s="29"/>
      <c r="C237" s="43" t="s">
        <v>118</v>
      </c>
      <c r="D237" s="23">
        <v>5.0</v>
      </c>
      <c r="E237" s="44">
        <v>11.05</v>
      </c>
      <c r="F237" s="45">
        <f t="shared" si="1"/>
        <v>55.25</v>
      </c>
    </row>
    <row r="238">
      <c r="A238" s="24"/>
      <c r="B238" s="29"/>
      <c r="C238" s="43" t="s">
        <v>117</v>
      </c>
      <c r="D238" s="23">
        <v>3.0</v>
      </c>
      <c r="E238" s="44">
        <v>18.85</v>
      </c>
      <c r="F238" s="45">
        <f t="shared" si="1"/>
        <v>56.55</v>
      </c>
    </row>
    <row r="239">
      <c r="A239" s="24"/>
      <c r="B239" s="29"/>
      <c r="C239" s="43" t="s">
        <v>222</v>
      </c>
      <c r="D239" s="23">
        <v>2.0</v>
      </c>
      <c r="E239" s="44">
        <v>14.3</v>
      </c>
      <c r="F239" s="45">
        <f t="shared" si="1"/>
        <v>28.6</v>
      </c>
    </row>
    <row r="240">
      <c r="A240" s="24"/>
      <c r="B240" s="29"/>
      <c r="C240" s="43" t="s">
        <v>223</v>
      </c>
      <c r="D240" s="23">
        <v>1.0</v>
      </c>
      <c r="E240" s="44">
        <v>642.2</v>
      </c>
      <c r="F240" s="45">
        <f t="shared" si="1"/>
        <v>642.2</v>
      </c>
    </row>
    <row r="241">
      <c r="A241" s="59">
        <v>45973.0</v>
      </c>
      <c r="B241" s="42" t="s">
        <v>31</v>
      </c>
      <c r="C241" s="43" t="s">
        <v>224</v>
      </c>
      <c r="D241" s="23">
        <v>1.0</v>
      </c>
      <c r="E241" s="44">
        <v>110.8</v>
      </c>
      <c r="F241" s="45">
        <f t="shared" si="1"/>
        <v>110.8</v>
      </c>
    </row>
    <row r="242">
      <c r="A242" s="24"/>
      <c r="B242" s="28" t="s">
        <v>225</v>
      </c>
      <c r="C242" s="43" t="s">
        <v>226</v>
      </c>
      <c r="D242" s="23">
        <v>4.0</v>
      </c>
      <c r="E242" s="44">
        <v>182.0</v>
      </c>
      <c r="F242" s="45">
        <f t="shared" si="1"/>
        <v>728</v>
      </c>
    </row>
    <row r="243">
      <c r="A243" s="24"/>
      <c r="B243" s="29"/>
      <c r="C243" s="43" t="s">
        <v>227</v>
      </c>
      <c r="D243" s="23">
        <v>4.0</v>
      </c>
      <c r="E243" s="44">
        <v>34.31</v>
      </c>
      <c r="F243" s="45">
        <f t="shared" si="1"/>
        <v>137.24</v>
      </c>
    </row>
    <row r="244">
      <c r="A244" s="24"/>
      <c r="B244" s="29"/>
      <c r="C244" s="43" t="s">
        <v>228</v>
      </c>
      <c r="D244" s="23">
        <v>4.0</v>
      </c>
      <c r="E244" s="44">
        <v>25.66</v>
      </c>
      <c r="F244" s="45">
        <f t="shared" si="1"/>
        <v>102.64</v>
      </c>
    </row>
    <row r="245">
      <c r="A245" s="24"/>
      <c r="B245" s="29"/>
      <c r="C245" s="43" t="s">
        <v>229</v>
      </c>
      <c r="D245" s="23">
        <v>2.0</v>
      </c>
      <c r="E245" s="44">
        <v>65.71</v>
      </c>
      <c r="F245" s="45">
        <f t="shared" si="1"/>
        <v>131.42</v>
      </c>
    </row>
    <row r="246">
      <c r="A246" s="24"/>
      <c r="B246" s="29"/>
      <c r="C246" s="43" t="s">
        <v>230</v>
      </c>
      <c r="D246" s="23">
        <v>5.0</v>
      </c>
      <c r="E246" s="44">
        <v>19.45</v>
      </c>
      <c r="F246" s="45">
        <f t="shared" si="1"/>
        <v>97.25</v>
      </c>
    </row>
    <row r="247">
      <c r="A247" s="24"/>
      <c r="B247" s="29"/>
      <c r="C247" s="43" t="s">
        <v>231</v>
      </c>
      <c r="D247" s="23">
        <v>10.0</v>
      </c>
      <c r="E247" s="44">
        <v>10.48</v>
      </c>
      <c r="F247" s="45">
        <f t="shared" si="1"/>
        <v>104.8</v>
      </c>
    </row>
    <row r="248">
      <c r="A248" s="24"/>
      <c r="B248" s="29"/>
      <c r="C248" s="43" t="s">
        <v>147</v>
      </c>
      <c r="D248" s="23">
        <v>4.0</v>
      </c>
      <c r="E248" s="44">
        <v>132.49</v>
      </c>
      <c r="F248" s="45">
        <f t="shared" si="1"/>
        <v>529.96</v>
      </c>
    </row>
    <row r="249">
      <c r="A249" s="24"/>
      <c r="B249" s="29"/>
      <c r="C249" s="43" t="s">
        <v>232</v>
      </c>
      <c r="D249" s="23">
        <v>4.0</v>
      </c>
      <c r="E249" s="44">
        <v>128.08</v>
      </c>
      <c r="F249" s="45">
        <f t="shared" si="1"/>
        <v>512.32</v>
      </c>
    </row>
    <row r="250">
      <c r="A250" s="24"/>
      <c r="B250" s="29"/>
      <c r="C250" s="43" t="s">
        <v>233</v>
      </c>
      <c r="D250" s="23">
        <v>1.0</v>
      </c>
      <c r="E250" s="44">
        <v>150.15</v>
      </c>
      <c r="F250" s="45">
        <f t="shared" si="1"/>
        <v>150.15</v>
      </c>
    </row>
    <row r="251">
      <c r="A251" s="24"/>
      <c r="B251" s="29"/>
      <c r="C251" s="43" t="s">
        <v>234</v>
      </c>
      <c r="D251" s="23">
        <v>1.0</v>
      </c>
      <c r="E251" s="44">
        <v>18.85</v>
      </c>
      <c r="F251" s="45">
        <f t="shared" si="1"/>
        <v>18.85</v>
      </c>
    </row>
    <row r="252">
      <c r="A252" s="24"/>
      <c r="B252" s="29"/>
      <c r="C252" s="43" t="s">
        <v>235</v>
      </c>
      <c r="D252" s="23">
        <v>1.0</v>
      </c>
      <c r="E252" s="44">
        <v>13.65</v>
      </c>
      <c r="F252" s="45">
        <f t="shared" si="1"/>
        <v>13.65</v>
      </c>
    </row>
    <row r="253">
      <c r="A253" s="24"/>
      <c r="B253" s="29"/>
      <c r="C253" s="43" t="s">
        <v>236</v>
      </c>
      <c r="D253" s="23">
        <v>1.0</v>
      </c>
      <c r="E253" s="44">
        <v>9.75</v>
      </c>
      <c r="F253" s="45">
        <f t="shared" si="1"/>
        <v>9.75</v>
      </c>
    </row>
    <row r="254">
      <c r="A254" s="59">
        <v>45989.0</v>
      </c>
      <c r="B254" s="42" t="s">
        <v>31</v>
      </c>
      <c r="C254" s="43" t="s">
        <v>237</v>
      </c>
      <c r="D254" s="23">
        <v>1.0</v>
      </c>
      <c r="E254" s="44">
        <v>835.18</v>
      </c>
      <c r="F254" s="45">
        <f t="shared" si="1"/>
        <v>835.18</v>
      </c>
    </row>
    <row r="255">
      <c r="A255" s="24"/>
      <c r="B255" s="28" t="s">
        <v>238</v>
      </c>
      <c r="C255" s="43" t="s">
        <v>239</v>
      </c>
      <c r="D255" s="23">
        <v>3.0</v>
      </c>
      <c r="E255" s="44">
        <v>609.7</v>
      </c>
      <c r="F255" s="45">
        <f t="shared" si="1"/>
        <v>1829.1</v>
      </c>
    </row>
    <row r="256">
      <c r="A256" s="24"/>
      <c r="B256" s="29"/>
      <c r="C256" s="43" t="s">
        <v>219</v>
      </c>
      <c r="D256" s="23">
        <v>2.0</v>
      </c>
      <c r="E256" s="44">
        <v>209.0</v>
      </c>
      <c r="F256" s="45">
        <f t="shared" si="1"/>
        <v>418</v>
      </c>
    </row>
    <row r="257">
      <c r="A257" s="24"/>
      <c r="B257" s="29"/>
      <c r="C257" s="43" t="s">
        <v>240</v>
      </c>
      <c r="D257" s="23">
        <v>1.0</v>
      </c>
      <c r="E257" s="44">
        <v>49.4</v>
      </c>
      <c r="F257" s="45">
        <f t="shared" si="1"/>
        <v>49.4</v>
      </c>
    </row>
    <row r="258">
      <c r="A258" s="24"/>
      <c r="B258" s="29"/>
      <c r="C258" s="43" t="s">
        <v>164</v>
      </c>
      <c r="D258" s="23">
        <v>1.0</v>
      </c>
      <c r="E258" s="44">
        <v>114.0</v>
      </c>
      <c r="F258" s="45">
        <f t="shared" si="1"/>
        <v>114</v>
      </c>
    </row>
    <row r="259">
      <c r="A259" s="24"/>
      <c r="B259" s="29"/>
      <c r="C259" s="43" t="s">
        <v>241</v>
      </c>
      <c r="D259" s="23">
        <v>1.0</v>
      </c>
      <c r="E259" s="44">
        <v>174.0</v>
      </c>
      <c r="F259" s="45">
        <f t="shared" si="1"/>
        <v>174</v>
      </c>
    </row>
    <row r="260">
      <c r="A260" s="72" t="s">
        <v>27</v>
      </c>
      <c r="B260" s="31"/>
      <c r="C260" s="31"/>
      <c r="D260" s="31"/>
      <c r="E260" s="32"/>
      <c r="F260" s="33">
        <f>SUM(F6:F259)</f>
        <v>454120.52</v>
      </c>
    </row>
    <row r="261">
      <c r="A261" s="35"/>
      <c r="C261" s="37"/>
      <c r="D261" s="35"/>
      <c r="E261" s="35"/>
    </row>
    <row r="262">
      <c r="A262" s="35"/>
      <c r="C262" s="37"/>
      <c r="D262" s="35"/>
      <c r="E262" s="35"/>
    </row>
    <row r="263">
      <c r="A263" s="36">
        <f>F260-A264</f>
        <v>187893.35</v>
      </c>
      <c r="B263" s="73" t="s">
        <v>242</v>
      </c>
      <c r="C263" s="37"/>
      <c r="D263" s="35"/>
      <c r="E263" s="35"/>
    </row>
    <row r="264">
      <c r="A264" s="35">
        <f>SUM(F26:F31,F123:F133)+F60</f>
        <v>266227.17</v>
      </c>
      <c r="B264" s="74" t="s">
        <v>243</v>
      </c>
      <c r="C264" s="37"/>
      <c r="D264" s="35"/>
      <c r="E264" s="35"/>
    </row>
    <row r="265">
      <c r="A265" s="35"/>
      <c r="C265" s="37"/>
      <c r="D265" s="35"/>
      <c r="E265" s="35"/>
    </row>
    <row r="266">
      <c r="A266" s="35"/>
      <c r="C266" s="37"/>
      <c r="D266" s="35"/>
      <c r="E266" s="35"/>
    </row>
    <row r="267">
      <c r="A267" s="36" t="s">
        <v>244</v>
      </c>
      <c r="B267" s="75">
        <f>SUM(F6:F25,F65:F122,F134:F259)</f>
        <v>124455.48</v>
      </c>
      <c r="C267" s="37"/>
      <c r="D267" s="35"/>
      <c r="E267" s="35"/>
    </row>
    <row r="268">
      <c r="A268" s="35"/>
      <c r="C268" s="37"/>
      <c r="D268" s="35"/>
      <c r="E268" s="35"/>
    </row>
    <row r="269">
      <c r="A269" s="76"/>
      <c r="C269" s="37"/>
      <c r="D269" s="35"/>
      <c r="E269" s="35"/>
    </row>
    <row r="270">
      <c r="A270" s="76"/>
      <c r="C270" s="37"/>
      <c r="D270" s="35"/>
      <c r="E270" s="35"/>
    </row>
    <row r="271">
      <c r="A271" s="77"/>
      <c r="C271" s="37"/>
      <c r="D271" s="35"/>
      <c r="E271" s="35"/>
    </row>
    <row r="272">
      <c r="A272" s="77"/>
      <c r="C272" s="37"/>
      <c r="D272" s="35"/>
      <c r="E272" s="35"/>
    </row>
    <row r="273">
      <c r="A273" s="77"/>
      <c r="C273" s="37"/>
      <c r="D273" s="35"/>
      <c r="E273" s="35"/>
    </row>
    <row r="274">
      <c r="A274" s="77"/>
      <c r="C274" s="37"/>
      <c r="D274" s="35"/>
      <c r="E274" s="35"/>
    </row>
    <row r="275">
      <c r="A275" s="77"/>
      <c r="C275" s="37"/>
      <c r="D275" s="35"/>
      <c r="E275" s="35"/>
    </row>
    <row r="276">
      <c r="A276" s="35"/>
      <c r="C276" s="37"/>
      <c r="D276" s="35"/>
      <c r="E276" s="35"/>
    </row>
    <row r="277">
      <c r="A277" s="35"/>
      <c r="C277" s="37"/>
      <c r="D277" s="35"/>
      <c r="E277" s="35"/>
    </row>
    <row r="278">
      <c r="A278" s="35"/>
      <c r="C278" s="37"/>
      <c r="D278" s="35"/>
      <c r="E278" s="35"/>
    </row>
    <row r="279">
      <c r="A279" s="35"/>
      <c r="C279" s="37"/>
      <c r="D279" s="35"/>
      <c r="E279" s="35"/>
    </row>
    <row r="280">
      <c r="A280" s="35"/>
      <c r="C280" s="37"/>
      <c r="D280" s="35"/>
      <c r="E280" s="35"/>
    </row>
    <row r="281">
      <c r="A281" s="35"/>
      <c r="C281" s="37"/>
      <c r="D281" s="35"/>
      <c r="E281" s="35"/>
    </row>
    <row r="282">
      <c r="A282" s="35"/>
      <c r="C282" s="37"/>
      <c r="D282" s="35"/>
      <c r="E282" s="35"/>
    </row>
    <row r="283">
      <c r="A283" s="35"/>
      <c r="C283" s="37"/>
      <c r="D283" s="35"/>
      <c r="E283" s="35"/>
    </row>
    <row r="284">
      <c r="A284" s="35"/>
      <c r="C284" s="37"/>
      <c r="D284" s="35"/>
      <c r="E284" s="35"/>
    </row>
    <row r="285">
      <c r="A285" s="35"/>
      <c r="C285" s="37"/>
      <c r="D285" s="35"/>
      <c r="E285" s="35"/>
    </row>
    <row r="286">
      <c r="A286" s="35"/>
      <c r="C286" s="37"/>
      <c r="D286" s="35"/>
      <c r="E286" s="35"/>
    </row>
    <row r="287">
      <c r="A287" s="35"/>
      <c r="C287" s="37"/>
      <c r="D287" s="35"/>
      <c r="E287" s="35"/>
    </row>
    <row r="288">
      <c r="A288" s="35"/>
      <c r="C288" s="37"/>
      <c r="D288" s="35"/>
      <c r="E288" s="35"/>
    </row>
    <row r="289">
      <c r="A289" s="35"/>
      <c r="C289" s="37"/>
      <c r="D289" s="35"/>
      <c r="E289" s="35"/>
    </row>
    <row r="290">
      <c r="A290" s="35"/>
      <c r="C290" s="37"/>
      <c r="D290" s="35"/>
      <c r="E290" s="35"/>
    </row>
    <row r="291">
      <c r="A291" s="35"/>
      <c r="C291" s="37"/>
      <c r="D291" s="35"/>
      <c r="E291" s="35"/>
    </row>
    <row r="292">
      <c r="A292" s="35"/>
      <c r="C292" s="37"/>
      <c r="D292" s="35"/>
      <c r="E292" s="35"/>
    </row>
    <row r="293">
      <c r="A293" s="35"/>
      <c r="C293" s="37"/>
      <c r="D293" s="35"/>
      <c r="E293" s="35"/>
    </row>
    <row r="294">
      <c r="A294" s="35"/>
      <c r="C294" s="37"/>
      <c r="D294" s="35"/>
      <c r="E294" s="35"/>
    </row>
    <row r="295">
      <c r="A295" s="35"/>
      <c r="C295" s="37"/>
      <c r="D295" s="35"/>
      <c r="E295" s="35"/>
    </row>
    <row r="296">
      <c r="A296" s="35"/>
      <c r="C296" s="37"/>
      <c r="D296" s="35"/>
      <c r="E296" s="35"/>
    </row>
    <row r="297">
      <c r="A297" s="35"/>
      <c r="C297" s="37"/>
      <c r="D297" s="35"/>
      <c r="E297" s="35"/>
    </row>
    <row r="298">
      <c r="A298" s="35"/>
      <c r="C298" s="37"/>
      <c r="D298" s="35"/>
      <c r="E298" s="35"/>
    </row>
    <row r="299">
      <c r="A299" s="35"/>
      <c r="C299" s="37"/>
      <c r="D299" s="35"/>
      <c r="E299" s="35"/>
    </row>
    <row r="300">
      <c r="A300" s="35"/>
      <c r="C300" s="37"/>
      <c r="D300" s="35"/>
      <c r="E300" s="35"/>
    </row>
    <row r="301">
      <c r="A301" s="35"/>
      <c r="C301" s="37"/>
      <c r="D301" s="35"/>
      <c r="E301" s="35"/>
    </row>
    <row r="302">
      <c r="A302" s="35"/>
      <c r="C302" s="37"/>
      <c r="D302" s="35"/>
      <c r="E302" s="35"/>
    </row>
    <row r="303">
      <c r="A303" s="35"/>
      <c r="C303" s="37"/>
      <c r="D303" s="35"/>
      <c r="E303" s="35"/>
    </row>
    <row r="304">
      <c r="A304" s="35"/>
      <c r="C304" s="37"/>
      <c r="D304" s="35"/>
      <c r="E304" s="35"/>
    </row>
    <row r="305">
      <c r="A305" s="35"/>
      <c r="C305" s="37"/>
      <c r="D305" s="35"/>
      <c r="E305" s="35"/>
    </row>
    <row r="306">
      <c r="A306" s="35"/>
      <c r="C306" s="37"/>
      <c r="D306" s="35"/>
      <c r="E306" s="35"/>
    </row>
    <row r="307">
      <c r="A307" s="35"/>
      <c r="C307" s="37"/>
      <c r="D307" s="35"/>
      <c r="E307" s="35"/>
    </row>
    <row r="308">
      <c r="A308" s="35"/>
      <c r="C308" s="37"/>
      <c r="D308" s="35"/>
      <c r="E308" s="35"/>
    </row>
    <row r="309">
      <c r="A309" s="35"/>
      <c r="C309" s="37"/>
      <c r="D309" s="35"/>
      <c r="E309" s="35"/>
    </row>
    <row r="310">
      <c r="A310" s="35"/>
      <c r="C310" s="37"/>
      <c r="D310" s="35"/>
      <c r="E310" s="35"/>
    </row>
    <row r="311">
      <c r="A311" s="35"/>
      <c r="C311" s="37"/>
      <c r="D311" s="35"/>
      <c r="E311" s="35"/>
    </row>
    <row r="312">
      <c r="A312" s="35"/>
      <c r="C312" s="37"/>
      <c r="D312" s="35"/>
      <c r="E312" s="35"/>
    </row>
    <row r="313">
      <c r="A313" s="35"/>
      <c r="C313" s="37"/>
      <c r="D313" s="35"/>
      <c r="E313" s="35"/>
    </row>
    <row r="314">
      <c r="A314" s="35"/>
      <c r="C314" s="37"/>
      <c r="D314" s="35"/>
      <c r="E314" s="35"/>
    </row>
    <row r="315">
      <c r="A315" s="35"/>
      <c r="C315" s="37"/>
      <c r="D315" s="35"/>
      <c r="E315" s="35"/>
    </row>
    <row r="316">
      <c r="A316" s="35"/>
      <c r="C316" s="37"/>
      <c r="D316" s="35"/>
      <c r="E316" s="35"/>
    </row>
    <row r="317">
      <c r="A317" s="35"/>
      <c r="C317" s="37"/>
      <c r="D317" s="35"/>
      <c r="E317" s="35"/>
    </row>
    <row r="318">
      <c r="A318" s="35"/>
      <c r="C318" s="37"/>
      <c r="D318" s="35"/>
      <c r="E318" s="35"/>
    </row>
    <row r="319">
      <c r="A319" s="35"/>
      <c r="C319" s="37"/>
      <c r="D319" s="35"/>
      <c r="E319" s="35"/>
    </row>
    <row r="320">
      <c r="A320" s="35"/>
      <c r="C320" s="37"/>
      <c r="D320" s="35"/>
      <c r="E320" s="35"/>
    </row>
    <row r="321">
      <c r="A321" s="35"/>
      <c r="C321" s="37"/>
      <c r="D321" s="35"/>
      <c r="E321" s="35"/>
    </row>
    <row r="322">
      <c r="A322" s="35"/>
      <c r="C322" s="37"/>
      <c r="D322" s="35"/>
      <c r="E322" s="35"/>
    </row>
    <row r="323">
      <c r="A323" s="35"/>
      <c r="C323" s="37"/>
      <c r="D323" s="35"/>
      <c r="E323" s="35"/>
    </row>
    <row r="324">
      <c r="A324" s="35"/>
      <c r="C324" s="37"/>
      <c r="D324" s="35"/>
      <c r="E324" s="35"/>
    </row>
    <row r="325">
      <c r="A325" s="35"/>
      <c r="C325" s="37"/>
      <c r="D325" s="35"/>
      <c r="E325" s="35"/>
    </row>
    <row r="326">
      <c r="A326" s="35"/>
      <c r="C326" s="37"/>
      <c r="D326" s="35"/>
      <c r="E326" s="35"/>
    </row>
    <row r="327">
      <c r="A327" s="35"/>
      <c r="C327" s="37"/>
      <c r="D327" s="35"/>
      <c r="E327" s="35"/>
    </row>
    <row r="328">
      <c r="A328" s="35"/>
      <c r="C328" s="37"/>
      <c r="D328" s="35"/>
      <c r="E328" s="35"/>
    </row>
    <row r="329">
      <c r="A329" s="35"/>
      <c r="C329" s="37"/>
      <c r="D329" s="35"/>
      <c r="E329" s="35"/>
    </row>
    <row r="330">
      <c r="A330" s="35"/>
      <c r="C330" s="37"/>
      <c r="D330" s="35"/>
      <c r="E330" s="35"/>
    </row>
    <row r="331">
      <c r="A331" s="35"/>
      <c r="C331" s="37"/>
      <c r="D331" s="35"/>
      <c r="E331" s="35"/>
    </row>
    <row r="332">
      <c r="A332" s="35"/>
      <c r="C332" s="37"/>
      <c r="D332" s="35"/>
      <c r="E332" s="35"/>
    </row>
    <row r="333">
      <c r="A333" s="35"/>
      <c r="C333" s="37"/>
      <c r="D333" s="35"/>
      <c r="E333" s="35"/>
    </row>
    <row r="334">
      <c r="A334" s="35"/>
      <c r="C334" s="37"/>
      <c r="D334" s="35"/>
      <c r="E334" s="35"/>
    </row>
    <row r="335">
      <c r="A335" s="35"/>
      <c r="C335" s="37"/>
      <c r="D335" s="35"/>
      <c r="E335" s="35"/>
    </row>
    <row r="336">
      <c r="A336" s="35"/>
      <c r="C336" s="37"/>
      <c r="D336" s="35"/>
      <c r="E336" s="35"/>
    </row>
    <row r="337">
      <c r="A337" s="35"/>
      <c r="C337" s="37"/>
      <c r="D337" s="35"/>
      <c r="E337" s="35"/>
    </row>
    <row r="338">
      <c r="A338" s="35"/>
      <c r="C338" s="37"/>
      <c r="D338" s="35"/>
      <c r="E338" s="35"/>
    </row>
    <row r="339">
      <c r="A339" s="35"/>
      <c r="C339" s="37"/>
      <c r="D339" s="35"/>
      <c r="E339" s="35"/>
    </row>
    <row r="340">
      <c r="A340" s="35"/>
      <c r="C340" s="37"/>
      <c r="D340" s="35"/>
      <c r="E340" s="35"/>
    </row>
    <row r="341">
      <c r="A341" s="35"/>
      <c r="C341" s="37"/>
      <c r="D341" s="35"/>
      <c r="E341" s="35"/>
    </row>
    <row r="342">
      <c r="A342" s="35"/>
      <c r="C342" s="37"/>
      <c r="D342" s="35"/>
      <c r="E342" s="35"/>
    </row>
    <row r="343">
      <c r="A343" s="35"/>
      <c r="C343" s="37"/>
      <c r="D343" s="35"/>
      <c r="E343" s="35"/>
    </row>
    <row r="344">
      <c r="A344" s="35"/>
      <c r="C344" s="37"/>
      <c r="D344" s="35"/>
      <c r="E344" s="35"/>
    </row>
    <row r="345">
      <c r="A345" s="35"/>
      <c r="C345" s="37"/>
      <c r="D345" s="35"/>
      <c r="E345" s="35"/>
    </row>
    <row r="346">
      <c r="A346" s="35"/>
      <c r="C346" s="37"/>
      <c r="D346" s="35"/>
      <c r="E346" s="35"/>
    </row>
    <row r="347">
      <c r="A347" s="35"/>
      <c r="C347" s="37"/>
      <c r="D347" s="35"/>
      <c r="E347" s="35"/>
    </row>
    <row r="348">
      <c r="A348" s="35"/>
      <c r="C348" s="37"/>
      <c r="D348" s="35"/>
      <c r="E348" s="35"/>
    </row>
    <row r="349">
      <c r="A349" s="35"/>
      <c r="C349" s="37"/>
      <c r="D349" s="35"/>
      <c r="E349" s="35"/>
    </row>
    <row r="350">
      <c r="A350" s="35"/>
      <c r="C350" s="37"/>
      <c r="D350" s="35"/>
      <c r="E350" s="35"/>
    </row>
    <row r="351">
      <c r="A351" s="35"/>
      <c r="C351" s="37"/>
      <c r="D351" s="35"/>
      <c r="E351" s="35"/>
    </row>
    <row r="352">
      <c r="A352" s="35"/>
      <c r="C352" s="37"/>
      <c r="D352" s="35"/>
      <c r="E352" s="35"/>
    </row>
    <row r="353">
      <c r="A353" s="35"/>
      <c r="C353" s="37"/>
      <c r="D353" s="35"/>
      <c r="E353" s="35"/>
    </row>
    <row r="354">
      <c r="A354" s="35"/>
      <c r="C354" s="37"/>
      <c r="D354" s="35"/>
      <c r="E354" s="35"/>
    </row>
    <row r="355">
      <c r="A355" s="35"/>
      <c r="C355" s="37"/>
      <c r="D355" s="35"/>
      <c r="E355" s="35"/>
    </row>
    <row r="356">
      <c r="A356" s="35"/>
      <c r="C356" s="37"/>
      <c r="D356" s="35"/>
      <c r="E356" s="35"/>
    </row>
    <row r="357">
      <c r="A357" s="35"/>
      <c r="C357" s="37"/>
      <c r="D357" s="35"/>
      <c r="E357" s="35"/>
    </row>
    <row r="358">
      <c r="A358" s="35"/>
      <c r="C358" s="37"/>
      <c r="D358" s="35"/>
      <c r="E358" s="35"/>
    </row>
    <row r="359">
      <c r="A359" s="35"/>
      <c r="C359" s="37"/>
      <c r="D359" s="35"/>
      <c r="E359" s="35"/>
    </row>
    <row r="360">
      <c r="A360" s="35"/>
      <c r="C360" s="37"/>
      <c r="D360" s="35"/>
      <c r="E360" s="35"/>
    </row>
    <row r="361">
      <c r="A361" s="35"/>
      <c r="C361" s="37"/>
      <c r="D361" s="35"/>
      <c r="E361" s="35"/>
    </row>
    <row r="362">
      <c r="A362" s="35"/>
      <c r="C362" s="37"/>
      <c r="D362" s="35"/>
      <c r="E362" s="35"/>
    </row>
    <row r="363">
      <c r="A363" s="35"/>
      <c r="C363" s="37"/>
      <c r="D363" s="35"/>
      <c r="E363" s="35"/>
    </row>
    <row r="364">
      <c r="A364" s="35"/>
      <c r="C364" s="37"/>
      <c r="D364" s="35"/>
      <c r="E364" s="35"/>
    </row>
    <row r="365">
      <c r="A365" s="35"/>
      <c r="C365" s="37"/>
      <c r="D365" s="35"/>
      <c r="E365" s="35"/>
    </row>
    <row r="366">
      <c r="A366" s="35"/>
      <c r="C366" s="37"/>
      <c r="D366" s="35"/>
      <c r="E366" s="35"/>
    </row>
    <row r="367">
      <c r="A367" s="35"/>
      <c r="C367" s="37"/>
      <c r="D367" s="35"/>
      <c r="E367" s="35"/>
    </row>
    <row r="368">
      <c r="A368" s="35"/>
      <c r="C368" s="37"/>
      <c r="D368" s="35"/>
      <c r="E368" s="35"/>
    </row>
    <row r="369">
      <c r="A369" s="35"/>
      <c r="C369" s="37"/>
      <c r="D369" s="35"/>
      <c r="E369" s="35"/>
    </row>
    <row r="370">
      <c r="A370" s="35"/>
      <c r="C370" s="37"/>
      <c r="D370" s="35"/>
      <c r="E370" s="35"/>
    </row>
    <row r="371">
      <c r="A371" s="35"/>
      <c r="C371" s="37"/>
      <c r="D371" s="35"/>
      <c r="E371" s="35"/>
    </row>
    <row r="372">
      <c r="A372" s="35"/>
      <c r="C372" s="37"/>
      <c r="D372" s="35"/>
      <c r="E372" s="35"/>
    </row>
    <row r="373">
      <c r="A373" s="35"/>
      <c r="C373" s="37"/>
      <c r="D373" s="35"/>
      <c r="E373" s="35"/>
    </row>
    <row r="374">
      <c r="A374" s="35"/>
      <c r="C374" s="37"/>
      <c r="D374" s="35"/>
      <c r="E374" s="35"/>
    </row>
    <row r="375">
      <c r="A375" s="35"/>
      <c r="C375" s="37"/>
      <c r="D375" s="35"/>
      <c r="E375" s="35"/>
    </row>
    <row r="376">
      <c r="A376" s="35"/>
      <c r="C376" s="37"/>
      <c r="D376" s="35"/>
      <c r="E376" s="35"/>
    </row>
    <row r="377">
      <c r="A377" s="35"/>
      <c r="C377" s="37"/>
      <c r="D377" s="35"/>
      <c r="E377" s="35"/>
    </row>
    <row r="378">
      <c r="A378" s="35"/>
      <c r="C378" s="37"/>
      <c r="D378" s="35"/>
      <c r="E378" s="35"/>
    </row>
    <row r="379">
      <c r="A379" s="35"/>
      <c r="C379" s="37"/>
      <c r="D379" s="35"/>
      <c r="E379" s="35"/>
    </row>
    <row r="380">
      <c r="A380" s="35"/>
      <c r="C380" s="37"/>
      <c r="D380" s="35"/>
      <c r="E380" s="35"/>
    </row>
    <row r="381">
      <c r="A381" s="35"/>
      <c r="C381" s="37"/>
      <c r="D381" s="35"/>
      <c r="E381" s="35"/>
    </row>
    <row r="382">
      <c r="A382" s="35"/>
      <c r="C382" s="37"/>
      <c r="D382" s="35"/>
      <c r="E382" s="35"/>
    </row>
    <row r="383">
      <c r="A383" s="35"/>
      <c r="C383" s="37"/>
      <c r="D383" s="35"/>
      <c r="E383" s="35"/>
    </row>
    <row r="384">
      <c r="A384" s="35"/>
      <c r="C384" s="37"/>
      <c r="D384" s="35"/>
      <c r="E384" s="35"/>
    </row>
    <row r="385">
      <c r="A385" s="35"/>
      <c r="C385" s="37"/>
      <c r="D385" s="35"/>
      <c r="E385" s="35"/>
    </row>
    <row r="386">
      <c r="A386" s="35"/>
      <c r="C386" s="37"/>
      <c r="D386" s="35"/>
      <c r="E386" s="35"/>
    </row>
    <row r="387">
      <c r="A387" s="35"/>
      <c r="C387" s="37"/>
      <c r="D387" s="35"/>
      <c r="E387" s="35"/>
    </row>
    <row r="388">
      <c r="A388" s="35"/>
      <c r="C388" s="37"/>
      <c r="D388" s="35"/>
      <c r="E388" s="35"/>
    </row>
    <row r="389">
      <c r="A389" s="35"/>
      <c r="C389" s="37"/>
      <c r="D389" s="35"/>
      <c r="E389" s="35"/>
    </row>
    <row r="390">
      <c r="A390" s="35"/>
      <c r="C390" s="37"/>
      <c r="D390" s="35"/>
      <c r="E390" s="35"/>
    </row>
    <row r="391">
      <c r="A391" s="35"/>
      <c r="C391" s="37"/>
      <c r="D391" s="35"/>
      <c r="E391" s="35"/>
    </row>
    <row r="392">
      <c r="A392" s="35"/>
      <c r="C392" s="37"/>
      <c r="D392" s="35"/>
      <c r="E392" s="35"/>
    </row>
    <row r="393">
      <c r="A393" s="35"/>
      <c r="C393" s="37"/>
      <c r="D393" s="35"/>
      <c r="E393" s="35"/>
    </row>
    <row r="394">
      <c r="A394" s="35"/>
      <c r="C394" s="37"/>
      <c r="D394" s="35"/>
      <c r="E394" s="35"/>
    </row>
    <row r="395">
      <c r="A395" s="35"/>
      <c r="C395" s="37"/>
      <c r="D395" s="35"/>
      <c r="E395" s="35"/>
    </row>
    <row r="396">
      <c r="A396" s="35"/>
      <c r="C396" s="37"/>
      <c r="D396" s="35"/>
      <c r="E396" s="35"/>
    </row>
    <row r="397">
      <c r="A397" s="35"/>
      <c r="C397" s="37"/>
      <c r="D397" s="35"/>
      <c r="E397" s="35"/>
    </row>
    <row r="398">
      <c r="A398" s="35"/>
      <c r="C398" s="37"/>
      <c r="D398" s="35"/>
      <c r="E398" s="35"/>
    </row>
    <row r="399">
      <c r="A399" s="35"/>
      <c r="C399" s="37"/>
      <c r="D399" s="35"/>
      <c r="E399" s="35"/>
    </row>
    <row r="400">
      <c r="A400" s="35"/>
      <c r="C400" s="37"/>
      <c r="D400" s="35"/>
      <c r="E400" s="35"/>
    </row>
    <row r="401">
      <c r="A401" s="35"/>
      <c r="C401" s="37"/>
      <c r="D401" s="35"/>
      <c r="E401" s="35"/>
    </row>
    <row r="402">
      <c r="A402" s="35"/>
      <c r="C402" s="37"/>
      <c r="D402" s="35"/>
      <c r="E402" s="35"/>
    </row>
    <row r="403">
      <c r="A403" s="35"/>
      <c r="C403" s="37"/>
      <c r="D403" s="35"/>
      <c r="E403" s="35"/>
    </row>
    <row r="404">
      <c r="A404" s="35"/>
      <c r="C404" s="37"/>
      <c r="D404" s="35"/>
      <c r="E404" s="35"/>
    </row>
    <row r="405">
      <c r="A405" s="35"/>
      <c r="C405" s="37"/>
      <c r="D405" s="35"/>
      <c r="E405" s="35"/>
    </row>
    <row r="406">
      <c r="A406" s="35"/>
      <c r="C406" s="37"/>
      <c r="D406" s="35"/>
      <c r="E406" s="35"/>
    </row>
    <row r="407">
      <c r="A407" s="35"/>
      <c r="C407" s="37"/>
      <c r="D407" s="35"/>
      <c r="E407" s="35"/>
    </row>
    <row r="408">
      <c r="A408" s="35"/>
      <c r="C408" s="37"/>
      <c r="D408" s="35"/>
      <c r="E408" s="35"/>
    </row>
    <row r="409">
      <c r="A409" s="35"/>
      <c r="C409" s="37"/>
      <c r="D409" s="35"/>
      <c r="E409" s="35"/>
    </row>
    <row r="410">
      <c r="A410" s="35"/>
      <c r="C410" s="37"/>
      <c r="D410" s="35"/>
      <c r="E410" s="35"/>
    </row>
    <row r="411">
      <c r="A411" s="35"/>
      <c r="C411" s="37"/>
      <c r="D411" s="35"/>
      <c r="E411" s="35"/>
    </row>
    <row r="412">
      <c r="A412" s="35"/>
      <c r="C412" s="37"/>
      <c r="D412" s="35"/>
      <c r="E412" s="35"/>
    </row>
    <row r="413">
      <c r="A413" s="35"/>
      <c r="C413" s="37"/>
      <c r="D413" s="35"/>
      <c r="E413" s="35"/>
    </row>
    <row r="414">
      <c r="A414" s="35"/>
      <c r="C414" s="37"/>
      <c r="D414" s="35"/>
      <c r="E414" s="35"/>
    </row>
    <row r="415">
      <c r="A415" s="35"/>
      <c r="C415" s="37"/>
      <c r="D415" s="35"/>
      <c r="E415" s="35"/>
    </row>
    <row r="416">
      <c r="A416" s="35"/>
      <c r="C416" s="37"/>
      <c r="D416" s="35"/>
      <c r="E416" s="35"/>
    </row>
    <row r="417">
      <c r="A417" s="35"/>
      <c r="C417" s="37"/>
      <c r="D417" s="35"/>
      <c r="E417" s="35"/>
    </row>
    <row r="418">
      <c r="A418" s="35"/>
      <c r="C418" s="37"/>
      <c r="D418" s="35"/>
      <c r="E418" s="35"/>
    </row>
    <row r="419">
      <c r="A419" s="35"/>
      <c r="C419" s="37"/>
      <c r="D419" s="35"/>
      <c r="E419" s="35"/>
    </row>
    <row r="420">
      <c r="A420" s="35"/>
      <c r="C420" s="37"/>
      <c r="D420" s="35"/>
      <c r="E420" s="35"/>
    </row>
    <row r="421">
      <c r="A421" s="35"/>
      <c r="C421" s="37"/>
      <c r="D421" s="35"/>
      <c r="E421" s="35"/>
    </row>
    <row r="422">
      <c r="A422" s="35"/>
      <c r="C422" s="37"/>
      <c r="D422" s="35"/>
      <c r="E422" s="35"/>
    </row>
    <row r="423">
      <c r="A423" s="35"/>
      <c r="C423" s="37"/>
      <c r="D423" s="35"/>
      <c r="E423" s="35"/>
    </row>
    <row r="424">
      <c r="A424" s="35"/>
      <c r="C424" s="37"/>
      <c r="D424" s="35"/>
      <c r="E424" s="35"/>
    </row>
    <row r="425">
      <c r="A425" s="35"/>
      <c r="C425" s="37"/>
      <c r="D425" s="35"/>
      <c r="E425" s="35"/>
    </row>
    <row r="426">
      <c r="A426" s="35"/>
      <c r="C426" s="37"/>
      <c r="D426" s="35"/>
      <c r="E426" s="35"/>
    </row>
    <row r="427">
      <c r="A427" s="35"/>
      <c r="C427" s="37"/>
      <c r="D427" s="35"/>
      <c r="E427" s="35"/>
    </row>
    <row r="428">
      <c r="A428" s="35"/>
      <c r="C428" s="37"/>
      <c r="D428" s="35"/>
      <c r="E428" s="35"/>
    </row>
    <row r="429">
      <c r="A429" s="35"/>
      <c r="C429" s="37"/>
      <c r="D429" s="35"/>
      <c r="E429" s="35"/>
    </row>
    <row r="430">
      <c r="A430" s="35"/>
      <c r="C430" s="37"/>
      <c r="D430" s="35"/>
      <c r="E430" s="35"/>
    </row>
    <row r="431">
      <c r="A431" s="35"/>
      <c r="C431" s="37"/>
      <c r="D431" s="35"/>
      <c r="E431" s="35"/>
    </row>
    <row r="432">
      <c r="A432" s="35"/>
      <c r="C432" s="37"/>
      <c r="D432" s="35"/>
      <c r="E432" s="35"/>
    </row>
    <row r="433">
      <c r="A433" s="35"/>
      <c r="C433" s="37"/>
      <c r="D433" s="35"/>
      <c r="E433" s="35"/>
    </row>
    <row r="434">
      <c r="A434" s="35"/>
      <c r="C434" s="37"/>
      <c r="D434" s="35"/>
      <c r="E434" s="35"/>
    </row>
    <row r="435">
      <c r="A435" s="35"/>
      <c r="C435" s="37"/>
      <c r="D435" s="35"/>
      <c r="E435" s="35"/>
    </row>
    <row r="436">
      <c r="A436" s="35"/>
      <c r="C436" s="37"/>
      <c r="D436" s="35"/>
      <c r="E436" s="35"/>
    </row>
    <row r="437">
      <c r="A437" s="35"/>
      <c r="C437" s="37"/>
      <c r="D437" s="35"/>
      <c r="E437" s="35"/>
    </row>
    <row r="438">
      <c r="A438" s="35"/>
      <c r="C438" s="37"/>
      <c r="D438" s="35"/>
      <c r="E438" s="35"/>
    </row>
    <row r="439">
      <c r="A439" s="35"/>
      <c r="C439" s="37"/>
      <c r="D439" s="35"/>
      <c r="E439" s="35"/>
    </row>
    <row r="440">
      <c r="A440" s="35"/>
      <c r="C440" s="37"/>
      <c r="D440" s="35"/>
      <c r="E440" s="35"/>
    </row>
    <row r="441">
      <c r="A441" s="35"/>
      <c r="C441" s="37"/>
      <c r="D441" s="35"/>
      <c r="E441" s="35"/>
    </row>
    <row r="442">
      <c r="A442" s="35"/>
      <c r="C442" s="37"/>
      <c r="D442" s="35"/>
      <c r="E442" s="35"/>
    </row>
    <row r="443">
      <c r="A443" s="35"/>
      <c r="C443" s="37"/>
      <c r="D443" s="35"/>
      <c r="E443" s="35"/>
    </row>
    <row r="444">
      <c r="A444" s="35"/>
      <c r="C444" s="37"/>
      <c r="D444" s="35"/>
      <c r="E444" s="35"/>
    </row>
    <row r="445">
      <c r="A445" s="35"/>
      <c r="C445" s="37"/>
      <c r="D445" s="35"/>
      <c r="E445" s="35"/>
    </row>
    <row r="446">
      <c r="A446" s="35"/>
      <c r="C446" s="37"/>
      <c r="D446" s="35"/>
      <c r="E446" s="35"/>
    </row>
    <row r="447">
      <c r="A447" s="35"/>
      <c r="C447" s="37"/>
      <c r="D447" s="35"/>
      <c r="E447" s="35"/>
    </row>
    <row r="448">
      <c r="A448" s="35"/>
      <c r="C448" s="37"/>
      <c r="D448" s="35"/>
      <c r="E448" s="35"/>
    </row>
    <row r="449">
      <c r="A449" s="35"/>
      <c r="C449" s="37"/>
      <c r="D449" s="35"/>
      <c r="E449" s="35"/>
    </row>
    <row r="450">
      <c r="A450" s="35"/>
      <c r="C450" s="37"/>
      <c r="D450" s="35"/>
      <c r="E450" s="35"/>
    </row>
    <row r="451">
      <c r="A451" s="35"/>
      <c r="C451" s="37"/>
      <c r="D451" s="35"/>
      <c r="E451" s="35"/>
    </row>
    <row r="452">
      <c r="A452" s="35"/>
      <c r="C452" s="37"/>
      <c r="D452" s="35"/>
      <c r="E452" s="35"/>
    </row>
    <row r="453">
      <c r="A453" s="35"/>
      <c r="C453" s="37"/>
      <c r="D453" s="35"/>
      <c r="E453" s="35"/>
    </row>
    <row r="454">
      <c r="A454" s="35"/>
      <c r="C454" s="37"/>
      <c r="D454" s="35"/>
      <c r="E454" s="35"/>
    </row>
    <row r="455">
      <c r="A455" s="35"/>
      <c r="C455" s="37"/>
      <c r="D455" s="35"/>
      <c r="E455" s="35"/>
    </row>
    <row r="456">
      <c r="A456" s="35"/>
      <c r="C456" s="37"/>
      <c r="D456" s="35"/>
      <c r="E456" s="35"/>
    </row>
    <row r="457">
      <c r="A457" s="35"/>
      <c r="C457" s="37"/>
      <c r="D457" s="35"/>
      <c r="E457" s="35"/>
    </row>
    <row r="458">
      <c r="A458" s="35"/>
      <c r="C458" s="37"/>
      <c r="D458" s="35"/>
      <c r="E458" s="35"/>
    </row>
    <row r="459">
      <c r="A459" s="35"/>
      <c r="C459" s="37"/>
      <c r="D459" s="35"/>
      <c r="E459" s="35"/>
    </row>
    <row r="460">
      <c r="A460" s="35"/>
      <c r="C460" s="37"/>
      <c r="D460" s="35"/>
      <c r="E460" s="35"/>
    </row>
    <row r="461">
      <c r="A461" s="35"/>
      <c r="C461" s="37"/>
      <c r="D461" s="35"/>
      <c r="E461" s="35"/>
    </row>
    <row r="462">
      <c r="A462" s="35"/>
      <c r="C462" s="37"/>
      <c r="D462" s="35"/>
      <c r="E462" s="35"/>
    </row>
    <row r="463">
      <c r="A463" s="35"/>
      <c r="C463" s="37"/>
      <c r="D463" s="35"/>
      <c r="E463" s="35"/>
    </row>
    <row r="464">
      <c r="A464" s="35"/>
      <c r="C464" s="37"/>
      <c r="D464" s="35"/>
      <c r="E464" s="35"/>
    </row>
    <row r="465">
      <c r="A465" s="35"/>
      <c r="C465" s="37"/>
      <c r="D465" s="35"/>
      <c r="E465" s="35"/>
    </row>
    <row r="466">
      <c r="A466" s="35"/>
      <c r="C466" s="37"/>
      <c r="D466" s="35"/>
      <c r="E466" s="35"/>
    </row>
    <row r="467">
      <c r="A467" s="35"/>
      <c r="C467" s="37"/>
      <c r="D467" s="35"/>
      <c r="E467" s="35"/>
    </row>
    <row r="468">
      <c r="A468" s="35"/>
      <c r="C468" s="37"/>
      <c r="D468" s="35"/>
      <c r="E468" s="35"/>
    </row>
    <row r="469">
      <c r="A469" s="35"/>
      <c r="C469" s="37"/>
      <c r="D469" s="35"/>
      <c r="E469" s="35"/>
    </row>
    <row r="470">
      <c r="A470" s="35"/>
      <c r="C470" s="37"/>
      <c r="D470" s="35"/>
      <c r="E470" s="35"/>
    </row>
    <row r="471">
      <c r="A471" s="35"/>
      <c r="C471" s="37"/>
      <c r="D471" s="35"/>
      <c r="E471" s="35"/>
    </row>
    <row r="472">
      <c r="A472" s="35"/>
      <c r="C472" s="37"/>
      <c r="D472" s="35"/>
      <c r="E472" s="35"/>
    </row>
    <row r="473">
      <c r="A473" s="35"/>
      <c r="C473" s="37"/>
      <c r="D473" s="35"/>
      <c r="E473" s="35"/>
    </row>
    <row r="474">
      <c r="A474" s="35"/>
      <c r="C474" s="37"/>
      <c r="D474" s="35"/>
      <c r="E474" s="35"/>
    </row>
    <row r="475">
      <c r="A475" s="35"/>
      <c r="C475" s="37"/>
      <c r="D475" s="35"/>
      <c r="E475" s="35"/>
    </row>
    <row r="476">
      <c r="A476" s="35"/>
      <c r="C476" s="37"/>
      <c r="D476" s="35"/>
      <c r="E476" s="35"/>
    </row>
    <row r="477">
      <c r="A477" s="35"/>
      <c r="C477" s="37"/>
      <c r="D477" s="35"/>
      <c r="E477" s="35"/>
    </row>
    <row r="478">
      <c r="A478" s="35"/>
      <c r="C478" s="37"/>
      <c r="D478" s="35"/>
      <c r="E478" s="35"/>
    </row>
    <row r="479">
      <c r="A479" s="35"/>
      <c r="C479" s="37"/>
      <c r="D479" s="35"/>
      <c r="E479" s="35"/>
    </row>
    <row r="480">
      <c r="A480" s="35"/>
      <c r="C480" s="37"/>
      <c r="D480" s="35"/>
      <c r="E480" s="35"/>
    </row>
    <row r="481">
      <c r="A481" s="35"/>
      <c r="C481" s="37"/>
      <c r="D481" s="35"/>
      <c r="E481" s="35"/>
    </row>
    <row r="482">
      <c r="A482" s="35"/>
      <c r="C482" s="37"/>
      <c r="D482" s="35"/>
      <c r="E482" s="35"/>
    </row>
    <row r="483">
      <c r="A483" s="35"/>
      <c r="C483" s="37"/>
      <c r="D483" s="35"/>
      <c r="E483" s="35"/>
    </row>
    <row r="484">
      <c r="A484" s="35"/>
      <c r="C484" s="37"/>
      <c r="D484" s="35"/>
      <c r="E484" s="35"/>
    </row>
    <row r="485">
      <c r="A485" s="35"/>
      <c r="C485" s="37"/>
      <c r="D485" s="35"/>
      <c r="E485" s="35"/>
    </row>
    <row r="486">
      <c r="A486" s="35"/>
      <c r="C486" s="37"/>
      <c r="D486" s="35"/>
      <c r="E486" s="35"/>
    </row>
    <row r="487">
      <c r="A487" s="35"/>
      <c r="C487" s="37"/>
      <c r="D487" s="35"/>
      <c r="E487" s="35"/>
    </row>
    <row r="488">
      <c r="A488" s="35"/>
      <c r="C488" s="37"/>
      <c r="D488" s="35"/>
      <c r="E488" s="35"/>
    </row>
    <row r="489">
      <c r="A489" s="35"/>
      <c r="C489" s="37"/>
      <c r="D489" s="35"/>
      <c r="E489" s="35"/>
    </row>
    <row r="490">
      <c r="A490" s="35"/>
      <c r="C490" s="37"/>
      <c r="D490" s="35"/>
      <c r="E490" s="35"/>
    </row>
    <row r="491">
      <c r="A491" s="35"/>
      <c r="C491" s="37"/>
      <c r="D491" s="35"/>
      <c r="E491" s="35"/>
    </row>
    <row r="492">
      <c r="A492" s="35"/>
      <c r="C492" s="37"/>
      <c r="D492" s="35"/>
      <c r="E492" s="35"/>
    </row>
    <row r="493">
      <c r="A493" s="35"/>
      <c r="C493" s="37"/>
      <c r="D493" s="35"/>
      <c r="E493" s="35"/>
    </row>
    <row r="494">
      <c r="A494" s="35"/>
      <c r="C494" s="37"/>
      <c r="D494" s="35"/>
      <c r="E494" s="35"/>
    </row>
    <row r="495">
      <c r="A495" s="35"/>
      <c r="C495" s="37"/>
      <c r="D495" s="35"/>
      <c r="E495" s="35"/>
    </row>
    <row r="496">
      <c r="A496" s="35"/>
      <c r="C496" s="37"/>
      <c r="D496" s="35"/>
      <c r="E496" s="35"/>
    </row>
    <row r="497">
      <c r="A497" s="35"/>
      <c r="C497" s="37"/>
      <c r="D497" s="35"/>
      <c r="E497" s="35"/>
    </row>
    <row r="498">
      <c r="A498" s="35"/>
      <c r="C498" s="37"/>
      <c r="D498" s="35"/>
      <c r="E498" s="35"/>
    </row>
    <row r="499">
      <c r="A499" s="35"/>
      <c r="C499" s="37"/>
      <c r="D499" s="35"/>
      <c r="E499" s="35"/>
    </row>
    <row r="500">
      <c r="A500" s="35"/>
      <c r="C500" s="37"/>
      <c r="D500" s="35"/>
      <c r="E500" s="35"/>
    </row>
    <row r="501">
      <c r="A501" s="35"/>
      <c r="C501" s="37"/>
      <c r="D501" s="35"/>
      <c r="E501" s="35"/>
    </row>
    <row r="502">
      <c r="A502" s="35"/>
      <c r="C502" s="37"/>
      <c r="D502" s="35"/>
      <c r="E502" s="35"/>
    </row>
    <row r="503">
      <c r="A503" s="35"/>
      <c r="C503" s="37"/>
      <c r="D503" s="35"/>
      <c r="E503" s="35"/>
    </row>
    <row r="504">
      <c r="A504" s="35"/>
      <c r="C504" s="37"/>
      <c r="D504" s="35"/>
      <c r="E504" s="35"/>
    </row>
    <row r="505">
      <c r="A505" s="35"/>
      <c r="C505" s="37"/>
      <c r="D505" s="35"/>
      <c r="E505" s="35"/>
    </row>
    <row r="506">
      <c r="A506" s="35"/>
      <c r="C506" s="37"/>
      <c r="D506" s="35"/>
      <c r="E506" s="35"/>
    </row>
    <row r="507">
      <c r="A507" s="35"/>
      <c r="C507" s="37"/>
      <c r="D507" s="35"/>
      <c r="E507" s="35"/>
    </row>
    <row r="508">
      <c r="A508" s="35"/>
      <c r="C508" s="37"/>
      <c r="D508" s="35"/>
      <c r="E508" s="35"/>
    </row>
    <row r="509">
      <c r="A509" s="35"/>
      <c r="C509" s="37"/>
      <c r="D509" s="35"/>
      <c r="E509" s="35"/>
    </row>
    <row r="510">
      <c r="A510" s="35"/>
      <c r="C510" s="37"/>
      <c r="D510" s="35"/>
      <c r="E510" s="35"/>
    </row>
    <row r="511">
      <c r="A511" s="35"/>
      <c r="C511" s="37"/>
      <c r="D511" s="35"/>
      <c r="E511" s="35"/>
    </row>
    <row r="512">
      <c r="A512" s="35"/>
      <c r="C512" s="37"/>
      <c r="D512" s="35"/>
      <c r="E512" s="35"/>
    </row>
    <row r="513">
      <c r="A513" s="35"/>
      <c r="C513" s="37"/>
      <c r="D513" s="35"/>
      <c r="E513" s="35"/>
    </row>
    <row r="514">
      <c r="A514" s="35"/>
      <c r="C514" s="37"/>
      <c r="D514" s="35"/>
      <c r="E514" s="35"/>
    </row>
    <row r="515">
      <c r="A515" s="35"/>
      <c r="C515" s="37"/>
      <c r="D515" s="35"/>
      <c r="E515" s="35"/>
    </row>
    <row r="516">
      <c r="A516" s="35"/>
      <c r="C516" s="37"/>
      <c r="D516" s="35"/>
      <c r="E516" s="35"/>
    </row>
    <row r="517">
      <c r="A517" s="35"/>
      <c r="C517" s="37"/>
      <c r="D517" s="35"/>
      <c r="E517" s="35"/>
    </row>
    <row r="518">
      <c r="A518" s="35"/>
      <c r="C518" s="37"/>
      <c r="D518" s="35"/>
      <c r="E518" s="35"/>
    </row>
    <row r="519">
      <c r="A519" s="35"/>
      <c r="C519" s="37"/>
      <c r="D519" s="35"/>
      <c r="E519" s="35"/>
    </row>
    <row r="520">
      <c r="A520" s="35"/>
      <c r="C520" s="37"/>
      <c r="D520" s="35"/>
      <c r="E520" s="35"/>
    </row>
    <row r="521">
      <c r="A521" s="35"/>
      <c r="C521" s="37"/>
      <c r="D521" s="35"/>
      <c r="E521" s="35"/>
    </row>
    <row r="522">
      <c r="A522" s="35"/>
      <c r="C522" s="37"/>
      <c r="D522" s="35"/>
      <c r="E522" s="35"/>
    </row>
    <row r="523">
      <c r="A523" s="35"/>
      <c r="C523" s="37"/>
      <c r="D523" s="35"/>
      <c r="E523" s="35"/>
    </row>
    <row r="524">
      <c r="A524" s="35"/>
      <c r="C524" s="37"/>
      <c r="D524" s="35"/>
      <c r="E524" s="35"/>
    </row>
    <row r="525">
      <c r="A525" s="35"/>
      <c r="C525" s="37"/>
      <c r="D525" s="35"/>
      <c r="E525" s="35"/>
    </row>
    <row r="526">
      <c r="A526" s="35"/>
      <c r="C526" s="37"/>
      <c r="D526" s="35"/>
      <c r="E526" s="35"/>
    </row>
    <row r="527">
      <c r="A527" s="35"/>
      <c r="C527" s="37"/>
      <c r="D527" s="35"/>
      <c r="E527" s="35"/>
    </row>
    <row r="528">
      <c r="A528" s="35"/>
      <c r="C528" s="37"/>
      <c r="D528" s="35"/>
      <c r="E528" s="35"/>
    </row>
    <row r="529">
      <c r="A529" s="35"/>
      <c r="C529" s="37"/>
      <c r="D529" s="35"/>
      <c r="E529" s="35"/>
    </row>
    <row r="530">
      <c r="A530" s="35"/>
      <c r="C530" s="37"/>
      <c r="D530" s="35"/>
      <c r="E530" s="35"/>
    </row>
    <row r="531">
      <c r="A531" s="35"/>
      <c r="C531" s="37"/>
      <c r="D531" s="35"/>
      <c r="E531" s="35"/>
    </row>
    <row r="532">
      <c r="A532" s="35"/>
      <c r="C532" s="37"/>
      <c r="D532" s="35"/>
      <c r="E532" s="35"/>
    </row>
    <row r="533">
      <c r="A533" s="35"/>
      <c r="C533" s="37"/>
      <c r="D533" s="35"/>
      <c r="E533" s="35"/>
    </row>
    <row r="534">
      <c r="A534" s="35"/>
      <c r="C534" s="37"/>
      <c r="D534" s="35"/>
      <c r="E534" s="35"/>
    </row>
    <row r="535">
      <c r="A535" s="35"/>
      <c r="C535" s="37"/>
      <c r="D535" s="35"/>
      <c r="E535" s="35"/>
    </row>
    <row r="536">
      <c r="A536" s="35"/>
      <c r="C536" s="37"/>
      <c r="D536" s="35"/>
      <c r="E536" s="35"/>
    </row>
    <row r="537">
      <c r="A537" s="35"/>
      <c r="C537" s="37"/>
      <c r="D537" s="35"/>
      <c r="E537" s="35"/>
    </row>
    <row r="538">
      <c r="A538" s="35"/>
      <c r="C538" s="37"/>
      <c r="D538" s="35"/>
      <c r="E538" s="35"/>
    </row>
    <row r="539">
      <c r="A539" s="35"/>
      <c r="C539" s="37"/>
      <c r="D539" s="35"/>
      <c r="E539" s="35"/>
    </row>
    <row r="540">
      <c r="A540" s="35"/>
      <c r="C540" s="37"/>
      <c r="D540" s="35"/>
      <c r="E540" s="35"/>
    </row>
    <row r="541">
      <c r="A541" s="35"/>
      <c r="C541" s="37"/>
      <c r="D541" s="35"/>
      <c r="E541" s="35"/>
    </row>
    <row r="542">
      <c r="A542" s="35"/>
      <c r="C542" s="37"/>
      <c r="D542" s="35"/>
      <c r="E542" s="35"/>
    </row>
    <row r="543">
      <c r="A543" s="35"/>
      <c r="C543" s="37"/>
      <c r="D543" s="35"/>
      <c r="E543" s="35"/>
    </row>
    <row r="544">
      <c r="A544" s="35"/>
      <c r="C544" s="37"/>
      <c r="D544" s="35"/>
      <c r="E544" s="35"/>
    </row>
    <row r="545">
      <c r="A545" s="35"/>
      <c r="C545" s="37"/>
      <c r="D545" s="35"/>
      <c r="E545" s="35"/>
    </row>
    <row r="546">
      <c r="A546" s="35"/>
      <c r="C546" s="37"/>
      <c r="D546" s="35"/>
      <c r="E546" s="35"/>
    </row>
    <row r="547">
      <c r="A547" s="35"/>
      <c r="C547" s="37"/>
      <c r="D547" s="35"/>
      <c r="E547" s="35"/>
    </row>
    <row r="548">
      <c r="A548" s="35"/>
      <c r="C548" s="37"/>
      <c r="D548" s="35"/>
      <c r="E548" s="35"/>
    </row>
    <row r="549">
      <c r="A549" s="35"/>
      <c r="C549" s="37"/>
      <c r="D549" s="35"/>
      <c r="E549" s="35"/>
    </row>
    <row r="550">
      <c r="A550" s="35"/>
      <c r="C550" s="37"/>
      <c r="D550" s="35"/>
      <c r="E550" s="35"/>
    </row>
    <row r="551">
      <c r="A551" s="35"/>
      <c r="C551" s="37"/>
      <c r="D551" s="35"/>
      <c r="E551" s="35"/>
    </row>
    <row r="552">
      <c r="A552" s="35"/>
      <c r="C552" s="37"/>
      <c r="D552" s="35"/>
      <c r="E552" s="35"/>
    </row>
    <row r="553">
      <c r="A553" s="35"/>
      <c r="C553" s="37"/>
      <c r="D553" s="35"/>
      <c r="E553" s="35"/>
    </row>
    <row r="554">
      <c r="A554" s="35"/>
      <c r="C554" s="37"/>
      <c r="D554" s="35"/>
      <c r="E554" s="35"/>
    </row>
    <row r="555">
      <c r="A555" s="35"/>
      <c r="C555" s="37"/>
      <c r="D555" s="35"/>
      <c r="E555" s="35"/>
    </row>
    <row r="556">
      <c r="A556" s="35"/>
      <c r="C556" s="37"/>
      <c r="D556" s="35"/>
      <c r="E556" s="35"/>
    </row>
    <row r="557">
      <c r="A557" s="35"/>
      <c r="C557" s="37"/>
      <c r="D557" s="35"/>
      <c r="E557" s="35"/>
    </row>
    <row r="558">
      <c r="A558" s="35"/>
      <c r="C558" s="37"/>
      <c r="D558" s="35"/>
      <c r="E558" s="35"/>
    </row>
    <row r="559">
      <c r="A559" s="35"/>
      <c r="C559" s="37"/>
      <c r="D559" s="35"/>
      <c r="E559" s="35"/>
    </row>
    <row r="560">
      <c r="A560" s="35"/>
      <c r="C560" s="37"/>
      <c r="D560" s="35"/>
      <c r="E560" s="35"/>
    </row>
    <row r="561">
      <c r="A561" s="35"/>
      <c r="C561" s="37"/>
      <c r="D561" s="35"/>
      <c r="E561" s="35"/>
    </row>
    <row r="562">
      <c r="A562" s="35"/>
      <c r="C562" s="37"/>
      <c r="D562" s="35"/>
      <c r="E562" s="35"/>
    </row>
    <row r="563">
      <c r="A563" s="35"/>
      <c r="C563" s="37"/>
      <c r="D563" s="35"/>
      <c r="E563" s="35"/>
    </row>
    <row r="564">
      <c r="A564" s="35"/>
      <c r="C564" s="37"/>
      <c r="D564" s="35"/>
      <c r="E564" s="35"/>
    </row>
    <row r="565">
      <c r="A565" s="35"/>
      <c r="C565" s="37"/>
      <c r="D565" s="35"/>
      <c r="E565" s="35"/>
    </row>
    <row r="566">
      <c r="A566" s="35"/>
      <c r="C566" s="37"/>
      <c r="D566" s="35"/>
      <c r="E566" s="35"/>
    </row>
    <row r="567">
      <c r="A567" s="35"/>
      <c r="C567" s="37"/>
      <c r="D567" s="35"/>
      <c r="E567" s="35"/>
    </row>
    <row r="568">
      <c r="A568" s="35"/>
      <c r="C568" s="37"/>
      <c r="D568" s="35"/>
      <c r="E568" s="35"/>
    </row>
    <row r="569">
      <c r="A569" s="35"/>
      <c r="C569" s="37"/>
      <c r="D569" s="35"/>
      <c r="E569" s="35"/>
    </row>
    <row r="570">
      <c r="A570" s="35"/>
      <c r="C570" s="37"/>
      <c r="D570" s="35"/>
      <c r="E570" s="35"/>
    </row>
    <row r="571">
      <c r="A571" s="35"/>
      <c r="C571" s="37"/>
      <c r="D571" s="35"/>
      <c r="E571" s="35"/>
    </row>
    <row r="572">
      <c r="A572" s="35"/>
      <c r="C572" s="37"/>
      <c r="D572" s="35"/>
      <c r="E572" s="35"/>
    </row>
    <row r="573">
      <c r="A573" s="35"/>
      <c r="C573" s="37"/>
      <c r="D573" s="35"/>
      <c r="E573" s="35"/>
    </row>
    <row r="574">
      <c r="A574" s="35"/>
      <c r="C574" s="37"/>
      <c r="D574" s="35"/>
      <c r="E574" s="35"/>
    </row>
    <row r="575">
      <c r="A575" s="35"/>
      <c r="C575" s="37"/>
      <c r="D575" s="35"/>
      <c r="E575" s="35"/>
    </row>
    <row r="576">
      <c r="A576" s="35"/>
      <c r="C576" s="37"/>
      <c r="D576" s="35"/>
      <c r="E576" s="35"/>
    </row>
    <row r="577">
      <c r="A577" s="35"/>
      <c r="C577" s="37"/>
      <c r="D577" s="35"/>
      <c r="E577" s="35"/>
    </row>
    <row r="578">
      <c r="A578" s="35"/>
      <c r="C578" s="37"/>
      <c r="D578" s="35"/>
      <c r="E578" s="35"/>
    </row>
    <row r="579">
      <c r="A579" s="35"/>
      <c r="C579" s="37"/>
      <c r="D579" s="35"/>
      <c r="E579" s="35"/>
    </row>
    <row r="580">
      <c r="A580" s="35"/>
      <c r="C580" s="37"/>
      <c r="D580" s="35"/>
      <c r="E580" s="35"/>
    </row>
    <row r="581">
      <c r="A581" s="35"/>
      <c r="C581" s="37"/>
      <c r="D581" s="35"/>
      <c r="E581" s="35"/>
    </row>
    <row r="582">
      <c r="A582" s="35"/>
      <c r="C582" s="37"/>
      <c r="D582" s="35"/>
      <c r="E582" s="35"/>
    </row>
    <row r="583">
      <c r="A583" s="35"/>
      <c r="C583" s="37"/>
      <c r="D583" s="35"/>
      <c r="E583" s="35"/>
    </row>
    <row r="584">
      <c r="A584" s="35"/>
      <c r="C584" s="37"/>
      <c r="D584" s="35"/>
      <c r="E584" s="35"/>
    </row>
    <row r="585">
      <c r="A585" s="35"/>
      <c r="C585" s="37"/>
      <c r="D585" s="35"/>
      <c r="E585" s="35"/>
    </row>
    <row r="586">
      <c r="A586" s="35"/>
      <c r="C586" s="37"/>
      <c r="D586" s="35"/>
      <c r="E586" s="35"/>
    </row>
    <row r="587">
      <c r="A587" s="35"/>
      <c r="C587" s="37"/>
      <c r="D587" s="35"/>
      <c r="E587" s="35"/>
    </row>
    <row r="588">
      <c r="A588" s="35"/>
      <c r="C588" s="37"/>
      <c r="D588" s="35"/>
      <c r="E588" s="35"/>
    </row>
    <row r="589">
      <c r="A589" s="35"/>
      <c r="C589" s="37"/>
      <c r="D589" s="35"/>
      <c r="E589" s="35"/>
    </row>
    <row r="590">
      <c r="A590" s="35"/>
      <c r="C590" s="37"/>
      <c r="D590" s="35"/>
      <c r="E590" s="35"/>
    </row>
    <row r="591">
      <c r="A591" s="35"/>
      <c r="C591" s="37"/>
      <c r="D591" s="35"/>
      <c r="E591" s="35"/>
    </row>
    <row r="592">
      <c r="A592" s="35"/>
      <c r="C592" s="37"/>
      <c r="D592" s="35"/>
      <c r="E592" s="35"/>
    </row>
    <row r="593">
      <c r="A593" s="35"/>
      <c r="C593" s="37"/>
      <c r="D593" s="35"/>
      <c r="E593" s="35"/>
    </row>
    <row r="594">
      <c r="A594" s="35"/>
      <c r="C594" s="37"/>
      <c r="D594" s="35"/>
      <c r="E594" s="35"/>
    </row>
    <row r="595">
      <c r="A595" s="35"/>
      <c r="C595" s="37"/>
      <c r="D595" s="35"/>
      <c r="E595" s="35"/>
    </row>
    <row r="596">
      <c r="A596" s="35"/>
      <c r="C596" s="37"/>
      <c r="D596" s="35"/>
      <c r="E596" s="35"/>
    </row>
    <row r="597">
      <c r="A597" s="35"/>
      <c r="C597" s="37"/>
      <c r="D597" s="35"/>
      <c r="E597" s="35"/>
    </row>
    <row r="598">
      <c r="A598" s="35"/>
      <c r="C598" s="37"/>
      <c r="D598" s="35"/>
      <c r="E598" s="35"/>
    </row>
    <row r="599">
      <c r="A599" s="35"/>
      <c r="C599" s="37"/>
      <c r="D599" s="35"/>
      <c r="E599" s="35"/>
    </row>
    <row r="600">
      <c r="A600" s="35"/>
      <c r="C600" s="37"/>
      <c r="D600" s="35"/>
      <c r="E600" s="35"/>
    </row>
    <row r="601">
      <c r="A601" s="35"/>
      <c r="C601" s="37"/>
      <c r="D601" s="35"/>
      <c r="E601" s="35"/>
    </row>
    <row r="602">
      <c r="A602" s="35"/>
      <c r="C602" s="37"/>
      <c r="D602" s="35"/>
      <c r="E602" s="35"/>
    </row>
    <row r="603">
      <c r="A603" s="35"/>
      <c r="C603" s="37"/>
      <c r="D603" s="35"/>
      <c r="E603" s="35"/>
    </row>
    <row r="604">
      <c r="A604" s="35"/>
      <c r="C604" s="37"/>
      <c r="D604" s="35"/>
      <c r="E604" s="35"/>
    </row>
    <row r="605">
      <c r="A605" s="35"/>
      <c r="C605" s="37"/>
      <c r="D605" s="35"/>
      <c r="E605" s="35"/>
    </row>
    <row r="606">
      <c r="A606" s="35"/>
      <c r="C606" s="37"/>
      <c r="D606" s="35"/>
      <c r="E606" s="35"/>
    </row>
    <row r="607">
      <c r="A607" s="35"/>
      <c r="C607" s="37"/>
      <c r="D607" s="35"/>
      <c r="E607" s="35"/>
    </row>
    <row r="608">
      <c r="A608" s="35"/>
      <c r="C608" s="37"/>
      <c r="D608" s="35"/>
      <c r="E608" s="35"/>
    </row>
    <row r="609">
      <c r="A609" s="35"/>
      <c r="C609" s="37"/>
      <c r="D609" s="35"/>
      <c r="E609" s="35"/>
    </row>
    <row r="610">
      <c r="A610" s="35"/>
      <c r="C610" s="37"/>
      <c r="D610" s="35"/>
      <c r="E610" s="35"/>
    </row>
    <row r="611">
      <c r="A611" s="35"/>
      <c r="C611" s="37"/>
      <c r="D611" s="35"/>
      <c r="E611" s="35"/>
    </row>
    <row r="612">
      <c r="A612" s="35"/>
      <c r="C612" s="37"/>
      <c r="D612" s="35"/>
      <c r="E612" s="35"/>
    </row>
    <row r="613">
      <c r="A613" s="35"/>
      <c r="C613" s="37"/>
      <c r="D613" s="35"/>
      <c r="E613" s="35"/>
    </row>
    <row r="614">
      <c r="A614" s="35"/>
      <c r="C614" s="37"/>
      <c r="D614" s="35"/>
      <c r="E614" s="35"/>
    </row>
    <row r="615">
      <c r="A615" s="35"/>
      <c r="C615" s="37"/>
      <c r="D615" s="35"/>
      <c r="E615" s="35"/>
    </row>
    <row r="616">
      <c r="A616" s="35"/>
      <c r="C616" s="37"/>
      <c r="D616" s="35"/>
      <c r="E616" s="35"/>
    </row>
    <row r="617">
      <c r="A617" s="35"/>
      <c r="C617" s="37"/>
      <c r="D617" s="35"/>
      <c r="E617" s="35"/>
    </row>
    <row r="618">
      <c r="A618" s="35"/>
      <c r="C618" s="37"/>
      <c r="D618" s="35"/>
      <c r="E618" s="35"/>
    </row>
    <row r="619">
      <c r="A619" s="35"/>
      <c r="C619" s="37"/>
      <c r="D619" s="35"/>
      <c r="E619" s="35"/>
    </row>
    <row r="620">
      <c r="A620" s="35"/>
      <c r="C620" s="37"/>
      <c r="D620" s="35"/>
      <c r="E620" s="35"/>
    </row>
    <row r="621">
      <c r="A621" s="35"/>
      <c r="C621" s="37"/>
      <c r="D621" s="35"/>
      <c r="E621" s="35"/>
    </row>
    <row r="622">
      <c r="A622" s="35"/>
      <c r="C622" s="37"/>
      <c r="D622" s="35"/>
      <c r="E622" s="35"/>
    </row>
    <row r="623">
      <c r="A623" s="35"/>
      <c r="C623" s="37"/>
      <c r="D623" s="35"/>
      <c r="E623" s="35"/>
    </row>
    <row r="624">
      <c r="A624" s="35"/>
      <c r="C624" s="37"/>
      <c r="D624" s="35"/>
      <c r="E624" s="35"/>
    </row>
    <row r="625">
      <c r="A625" s="35"/>
      <c r="C625" s="37"/>
      <c r="D625" s="35"/>
      <c r="E625" s="35"/>
    </row>
    <row r="626">
      <c r="A626" s="35"/>
      <c r="C626" s="37"/>
      <c r="D626" s="35"/>
      <c r="E626" s="35"/>
    </row>
    <row r="627">
      <c r="A627" s="35"/>
      <c r="C627" s="37"/>
      <c r="D627" s="35"/>
      <c r="E627" s="35"/>
    </row>
    <row r="628">
      <c r="A628" s="35"/>
      <c r="C628" s="37"/>
      <c r="D628" s="35"/>
      <c r="E628" s="35"/>
    </row>
    <row r="629">
      <c r="A629" s="35"/>
      <c r="C629" s="37"/>
      <c r="D629" s="35"/>
      <c r="E629" s="35"/>
    </row>
    <row r="630">
      <c r="A630" s="35"/>
      <c r="C630" s="37"/>
      <c r="D630" s="35"/>
      <c r="E630" s="35"/>
    </row>
    <row r="631">
      <c r="A631" s="35"/>
      <c r="C631" s="37"/>
      <c r="D631" s="35"/>
      <c r="E631" s="35"/>
    </row>
    <row r="632">
      <c r="A632" s="35"/>
      <c r="C632" s="37"/>
      <c r="D632" s="35"/>
      <c r="E632" s="35"/>
    </row>
    <row r="633">
      <c r="A633" s="35"/>
      <c r="C633" s="37"/>
      <c r="D633" s="35"/>
      <c r="E633" s="35"/>
    </row>
    <row r="634">
      <c r="A634" s="35"/>
      <c r="C634" s="37"/>
      <c r="D634" s="35"/>
      <c r="E634" s="35"/>
    </row>
    <row r="635">
      <c r="A635" s="35"/>
      <c r="C635" s="37"/>
      <c r="D635" s="35"/>
      <c r="E635" s="35"/>
    </row>
    <row r="636">
      <c r="A636" s="35"/>
      <c r="C636" s="37"/>
      <c r="D636" s="35"/>
      <c r="E636" s="35"/>
    </row>
    <row r="637">
      <c r="A637" s="35"/>
      <c r="C637" s="37"/>
      <c r="D637" s="35"/>
      <c r="E637" s="35"/>
    </row>
    <row r="638">
      <c r="A638" s="35"/>
      <c r="C638" s="37"/>
      <c r="D638" s="35"/>
      <c r="E638" s="35"/>
    </row>
    <row r="639">
      <c r="A639" s="35"/>
      <c r="C639" s="37"/>
      <c r="D639" s="35"/>
      <c r="E639" s="35"/>
    </row>
    <row r="640">
      <c r="A640" s="35"/>
      <c r="C640" s="37"/>
      <c r="D640" s="35"/>
      <c r="E640" s="35"/>
    </row>
    <row r="641">
      <c r="A641" s="35"/>
      <c r="C641" s="37"/>
      <c r="D641" s="35"/>
      <c r="E641" s="35"/>
    </row>
    <row r="642">
      <c r="A642" s="35"/>
      <c r="C642" s="37"/>
      <c r="D642" s="35"/>
      <c r="E642" s="35"/>
    </row>
    <row r="643">
      <c r="A643" s="35"/>
      <c r="C643" s="37"/>
      <c r="D643" s="35"/>
      <c r="E643" s="35"/>
    </row>
    <row r="644">
      <c r="A644" s="35"/>
      <c r="C644" s="37"/>
      <c r="D644" s="35"/>
      <c r="E644" s="35"/>
    </row>
    <row r="645">
      <c r="A645" s="35"/>
      <c r="C645" s="37"/>
      <c r="D645" s="35"/>
      <c r="E645" s="35"/>
    </row>
    <row r="646">
      <c r="A646" s="35"/>
      <c r="C646" s="37"/>
      <c r="D646" s="35"/>
      <c r="E646" s="35"/>
    </row>
    <row r="647">
      <c r="A647" s="35"/>
      <c r="C647" s="37"/>
      <c r="D647" s="35"/>
      <c r="E647" s="35"/>
    </row>
    <row r="648">
      <c r="A648" s="35"/>
      <c r="C648" s="37"/>
      <c r="D648" s="35"/>
      <c r="E648" s="35"/>
    </row>
    <row r="649">
      <c r="A649" s="35"/>
      <c r="C649" s="37"/>
      <c r="D649" s="35"/>
      <c r="E649" s="35"/>
    </row>
    <row r="650">
      <c r="A650" s="35"/>
      <c r="C650" s="37"/>
      <c r="D650" s="35"/>
      <c r="E650" s="35"/>
    </row>
    <row r="651">
      <c r="A651" s="35"/>
      <c r="C651" s="37"/>
      <c r="D651" s="35"/>
      <c r="E651" s="35"/>
    </row>
    <row r="652">
      <c r="A652" s="35"/>
      <c r="C652" s="37"/>
      <c r="D652" s="35"/>
      <c r="E652" s="35"/>
    </row>
    <row r="653">
      <c r="A653" s="35"/>
      <c r="C653" s="37"/>
      <c r="D653" s="35"/>
      <c r="E653" s="35"/>
    </row>
    <row r="654">
      <c r="A654" s="35"/>
      <c r="C654" s="37"/>
      <c r="D654" s="35"/>
      <c r="E654" s="35"/>
    </row>
    <row r="655">
      <c r="A655" s="35"/>
      <c r="C655" s="37"/>
      <c r="D655" s="35"/>
      <c r="E655" s="35"/>
    </row>
    <row r="656">
      <c r="A656" s="35"/>
      <c r="C656" s="37"/>
      <c r="D656" s="35"/>
      <c r="E656" s="35"/>
    </row>
    <row r="657">
      <c r="A657" s="35"/>
      <c r="C657" s="37"/>
      <c r="D657" s="35"/>
      <c r="E657" s="35"/>
    </row>
    <row r="658">
      <c r="A658" s="35"/>
      <c r="C658" s="37"/>
      <c r="D658" s="35"/>
      <c r="E658" s="35"/>
    </row>
    <row r="659">
      <c r="A659" s="35"/>
      <c r="C659" s="37"/>
      <c r="D659" s="35"/>
      <c r="E659" s="35"/>
    </row>
    <row r="660">
      <c r="A660" s="35"/>
      <c r="C660" s="37"/>
      <c r="D660" s="35"/>
      <c r="E660" s="35"/>
    </row>
    <row r="661">
      <c r="A661" s="35"/>
      <c r="C661" s="37"/>
      <c r="D661" s="35"/>
      <c r="E661" s="35"/>
    </row>
    <row r="662">
      <c r="A662" s="35"/>
      <c r="C662" s="37"/>
      <c r="D662" s="35"/>
      <c r="E662" s="35"/>
    </row>
    <row r="663">
      <c r="A663" s="35"/>
      <c r="C663" s="37"/>
      <c r="D663" s="35"/>
      <c r="E663" s="35"/>
    </row>
    <row r="664">
      <c r="A664" s="35"/>
      <c r="C664" s="37"/>
      <c r="D664" s="35"/>
      <c r="E664" s="35"/>
    </row>
    <row r="665">
      <c r="A665" s="35"/>
      <c r="C665" s="37"/>
      <c r="D665" s="35"/>
      <c r="E665" s="35"/>
    </row>
    <row r="666">
      <c r="A666" s="35"/>
      <c r="C666" s="37"/>
      <c r="D666" s="35"/>
      <c r="E666" s="35"/>
    </row>
    <row r="667">
      <c r="A667" s="35"/>
      <c r="C667" s="37"/>
      <c r="D667" s="35"/>
      <c r="E667" s="35"/>
    </row>
    <row r="668">
      <c r="A668" s="35"/>
      <c r="C668" s="37"/>
      <c r="D668" s="35"/>
      <c r="E668" s="35"/>
    </row>
    <row r="669">
      <c r="A669" s="35"/>
      <c r="C669" s="37"/>
      <c r="D669" s="35"/>
      <c r="E669" s="35"/>
    </row>
    <row r="670">
      <c r="A670" s="35"/>
      <c r="C670" s="37"/>
      <c r="D670" s="35"/>
      <c r="E670" s="35"/>
    </row>
    <row r="671">
      <c r="A671" s="35"/>
      <c r="C671" s="37"/>
      <c r="D671" s="35"/>
      <c r="E671" s="35"/>
    </row>
    <row r="672">
      <c r="A672" s="35"/>
      <c r="C672" s="37"/>
      <c r="D672" s="35"/>
      <c r="E672" s="35"/>
    </row>
    <row r="673">
      <c r="A673" s="35"/>
      <c r="C673" s="37"/>
      <c r="D673" s="35"/>
      <c r="E673" s="35"/>
    </row>
    <row r="674">
      <c r="A674" s="35"/>
      <c r="C674" s="37"/>
      <c r="D674" s="35"/>
      <c r="E674" s="35"/>
    </row>
    <row r="675">
      <c r="A675" s="35"/>
      <c r="C675" s="37"/>
      <c r="D675" s="35"/>
      <c r="E675" s="35"/>
    </row>
    <row r="676">
      <c r="A676" s="35"/>
      <c r="C676" s="37"/>
      <c r="D676" s="35"/>
      <c r="E676" s="35"/>
    </row>
    <row r="677">
      <c r="A677" s="35"/>
      <c r="C677" s="37"/>
      <c r="D677" s="35"/>
      <c r="E677" s="35"/>
    </row>
    <row r="678">
      <c r="A678" s="35"/>
      <c r="C678" s="37"/>
      <c r="D678" s="35"/>
      <c r="E678" s="35"/>
    </row>
    <row r="679">
      <c r="A679" s="35"/>
      <c r="C679" s="37"/>
      <c r="D679" s="35"/>
      <c r="E679" s="35"/>
    </row>
    <row r="680">
      <c r="A680" s="35"/>
      <c r="C680" s="37"/>
      <c r="D680" s="35"/>
      <c r="E680" s="35"/>
    </row>
    <row r="681">
      <c r="A681" s="35"/>
      <c r="C681" s="37"/>
      <c r="D681" s="35"/>
      <c r="E681" s="35"/>
    </row>
    <row r="682">
      <c r="A682" s="35"/>
      <c r="C682" s="37"/>
      <c r="D682" s="35"/>
      <c r="E682" s="35"/>
    </row>
    <row r="683">
      <c r="A683" s="35"/>
      <c r="C683" s="37"/>
      <c r="D683" s="35"/>
      <c r="E683" s="35"/>
    </row>
    <row r="684">
      <c r="A684" s="35"/>
      <c r="C684" s="37"/>
      <c r="D684" s="35"/>
      <c r="E684" s="35"/>
    </row>
    <row r="685">
      <c r="A685" s="35"/>
      <c r="C685" s="37"/>
      <c r="D685" s="35"/>
      <c r="E685" s="35"/>
    </row>
    <row r="686">
      <c r="A686" s="35"/>
      <c r="C686" s="37"/>
      <c r="D686" s="35"/>
      <c r="E686" s="35"/>
    </row>
    <row r="687">
      <c r="A687" s="35"/>
      <c r="C687" s="37"/>
      <c r="D687" s="35"/>
      <c r="E687" s="35"/>
    </row>
    <row r="688">
      <c r="A688" s="35"/>
      <c r="C688" s="37"/>
      <c r="D688" s="35"/>
      <c r="E688" s="35"/>
    </row>
    <row r="689">
      <c r="A689" s="35"/>
      <c r="C689" s="37"/>
      <c r="D689" s="35"/>
      <c r="E689" s="35"/>
    </row>
    <row r="690">
      <c r="A690" s="35"/>
      <c r="C690" s="37"/>
      <c r="D690" s="35"/>
      <c r="E690" s="35"/>
    </row>
    <row r="691">
      <c r="A691" s="35"/>
      <c r="C691" s="37"/>
      <c r="D691" s="35"/>
      <c r="E691" s="35"/>
    </row>
    <row r="692">
      <c r="A692" s="35"/>
      <c r="C692" s="37"/>
      <c r="D692" s="35"/>
      <c r="E692" s="35"/>
    </row>
    <row r="693">
      <c r="A693" s="35"/>
      <c r="C693" s="37"/>
      <c r="D693" s="35"/>
      <c r="E693" s="35"/>
    </row>
    <row r="694">
      <c r="A694" s="35"/>
      <c r="C694" s="37"/>
      <c r="D694" s="35"/>
      <c r="E694" s="35"/>
    </row>
    <row r="695">
      <c r="A695" s="35"/>
      <c r="C695" s="37"/>
      <c r="D695" s="35"/>
      <c r="E695" s="35"/>
    </row>
    <row r="696">
      <c r="A696" s="35"/>
      <c r="C696" s="37"/>
      <c r="D696" s="35"/>
      <c r="E696" s="35"/>
    </row>
    <row r="697">
      <c r="A697" s="35"/>
      <c r="C697" s="37"/>
      <c r="D697" s="35"/>
      <c r="E697" s="35"/>
    </row>
    <row r="698">
      <c r="A698" s="35"/>
      <c r="C698" s="37"/>
      <c r="D698" s="35"/>
      <c r="E698" s="35"/>
    </row>
    <row r="699">
      <c r="A699" s="35"/>
      <c r="C699" s="37"/>
      <c r="D699" s="35"/>
      <c r="E699" s="35"/>
    </row>
    <row r="700">
      <c r="A700" s="35"/>
      <c r="C700" s="37"/>
      <c r="D700" s="35"/>
      <c r="E700" s="35"/>
    </row>
    <row r="701">
      <c r="A701" s="35"/>
      <c r="C701" s="37"/>
      <c r="D701" s="35"/>
      <c r="E701" s="35"/>
    </row>
    <row r="702">
      <c r="A702" s="35"/>
      <c r="C702" s="37"/>
      <c r="D702" s="35"/>
      <c r="E702" s="35"/>
    </row>
    <row r="703">
      <c r="A703" s="35"/>
      <c r="C703" s="37"/>
      <c r="D703" s="35"/>
      <c r="E703" s="35"/>
    </row>
    <row r="704">
      <c r="A704" s="35"/>
      <c r="C704" s="37"/>
      <c r="D704" s="35"/>
      <c r="E704" s="35"/>
    </row>
    <row r="705">
      <c r="A705" s="35"/>
      <c r="C705" s="37"/>
      <c r="D705" s="35"/>
      <c r="E705" s="35"/>
    </row>
    <row r="706">
      <c r="A706" s="35"/>
      <c r="C706" s="37"/>
      <c r="D706" s="35"/>
      <c r="E706" s="35"/>
    </row>
    <row r="707">
      <c r="A707" s="35"/>
      <c r="C707" s="37"/>
      <c r="D707" s="35"/>
      <c r="E707" s="35"/>
    </row>
    <row r="708">
      <c r="A708" s="35"/>
      <c r="C708" s="37"/>
      <c r="D708" s="35"/>
      <c r="E708" s="35"/>
    </row>
    <row r="709">
      <c r="A709" s="35"/>
      <c r="C709" s="37"/>
      <c r="D709" s="35"/>
      <c r="E709" s="35"/>
    </row>
    <row r="710">
      <c r="A710" s="35"/>
      <c r="C710" s="37"/>
      <c r="D710" s="35"/>
      <c r="E710" s="35"/>
    </row>
    <row r="711">
      <c r="A711" s="35"/>
      <c r="C711" s="37"/>
      <c r="D711" s="35"/>
      <c r="E711" s="35"/>
    </row>
    <row r="712">
      <c r="A712" s="35"/>
      <c r="C712" s="37"/>
      <c r="D712" s="35"/>
      <c r="E712" s="35"/>
    </row>
    <row r="713">
      <c r="A713" s="35"/>
      <c r="C713" s="37"/>
      <c r="D713" s="35"/>
      <c r="E713" s="35"/>
    </row>
    <row r="714">
      <c r="A714" s="35"/>
      <c r="C714" s="37"/>
      <c r="D714" s="35"/>
      <c r="E714" s="35"/>
    </row>
    <row r="715">
      <c r="A715" s="35"/>
      <c r="C715" s="37"/>
      <c r="D715" s="35"/>
      <c r="E715" s="35"/>
    </row>
    <row r="716">
      <c r="A716" s="35"/>
      <c r="C716" s="37"/>
      <c r="D716" s="35"/>
      <c r="E716" s="35"/>
    </row>
    <row r="717">
      <c r="A717" s="35"/>
      <c r="C717" s="37"/>
      <c r="D717" s="35"/>
      <c r="E717" s="35"/>
    </row>
    <row r="718">
      <c r="A718" s="35"/>
      <c r="C718" s="37"/>
      <c r="D718" s="35"/>
      <c r="E718" s="35"/>
    </row>
    <row r="719">
      <c r="A719" s="35"/>
      <c r="C719" s="37"/>
      <c r="D719" s="35"/>
      <c r="E719" s="35"/>
    </row>
    <row r="720">
      <c r="A720" s="35"/>
      <c r="C720" s="37"/>
      <c r="D720" s="35"/>
      <c r="E720" s="35"/>
    </row>
    <row r="721">
      <c r="A721" s="35"/>
      <c r="C721" s="37"/>
      <c r="D721" s="35"/>
      <c r="E721" s="35"/>
    </row>
    <row r="722">
      <c r="A722" s="35"/>
      <c r="C722" s="37"/>
      <c r="D722" s="35"/>
      <c r="E722" s="35"/>
    </row>
    <row r="723">
      <c r="A723" s="35"/>
      <c r="C723" s="37"/>
      <c r="D723" s="35"/>
      <c r="E723" s="35"/>
    </row>
    <row r="724">
      <c r="A724" s="35"/>
      <c r="C724" s="37"/>
      <c r="D724" s="35"/>
      <c r="E724" s="35"/>
    </row>
    <row r="725">
      <c r="A725" s="35"/>
      <c r="C725" s="37"/>
      <c r="D725" s="35"/>
      <c r="E725" s="35"/>
    </row>
    <row r="726">
      <c r="A726" s="35"/>
      <c r="C726" s="37"/>
      <c r="D726" s="35"/>
      <c r="E726" s="35"/>
    </row>
    <row r="727">
      <c r="A727" s="35"/>
      <c r="C727" s="37"/>
      <c r="D727" s="35"/>
      <c r="E727" s="35"/>
    </row>
    <row r="728">
      <c r="A728" s="35"/>
      <c r="C728" s="37"/>
      <c r="D728" s="35"/>
      <c r="E728" s="35"/>
    </row>
    <row r="729">
      <c r="A729" s="35"/>
      <c r="C729" s="37"/>
      <c r="D729" s="35"/>
      <c r="E729" s="35"/>
    </row>
    <row r="730">
      <c r="A730" s="35"/>
      <c r="C730" s="37"/>
      <c r="D730" s="35"/>
      <c r="E730" s="35"/>
    </row>
    <row r="731">
      <c r="A731" s="35"/>
      <c r="C731" s="37"/>
      <c r="D731" s="35"/>
      <c r="E731" s="35"/>
    </row>
    <row r="732">
      <c r="A732" s="35"/>
      <c r="C732" s="37"/>
      <c r="D732" s="35"/>
      <c r="E732" s="35"/>
    </row>
    <row r="733">
      <c r="A733" s="35"/>
      <c r="C733" s="37"/>
      <c r="D733" s="35"/>
      <c r="E733" s="35"/>
    </row>
    <row r="734">
      <c r="A734" s="35"/>
      <c r="C734" s="37"/>
      <c r="D734" s="35"/>
      <c r="E734" s="35"/>
    </row>
    <row r="735">
      <c r="A735" s="35"/>
      <c r="C735" s="37"/>
      <c r="D735" s="35"/>
      <c r="E735" s="35"/>
    </row>
    <row r="736">
      <c r="A736" s="35"/>
      <c r="C736" s="37"/>
      <c r="D736" s="35"/>
      <c r="E736" s="35"/>
    </row>
    <row r="737">
      <c r="A737" s="35"/>
      <c r="C737" s="37"/>
      <c r="D737" s="35"/>
      <c r="E737" s="35"/>
    </row>
    <row r="738">
      <c r="A738" s="35"/>
      <c r="C738" s="37"/>
      <c r="D738" s="35"/>
      <c r="E738" s="35"/>
    </row>
    <row r="739">
      <c r="A739" s="35"/>
      <c r="C739" s="37"/>
      <c r="D739" s="35"/>
      <c r="E739" s="35"/>
    </row>
    <row r="740">
      <c r="A740" s="35"/>
      <c r="C740" s="37"/>
      <c r="D740" s="35"/>
      <c r="E740" s="35"/>
    </row>
    <row r="741">
      <c r="A741" s="35"/>
      <c r="C741" s="37"/>
      <c r="D741" s="35"/>
      <c r="E741" s="35"/>
    </row>
    <row r="742">
      <c r="A742" s="35"/>
      <c r="C742" s="37"/>
      <c r="D742" s="35"/>
      <c r="E742" s="35"/>
    </row>
    <row r="743">
      <c r="A743" s="35"/>
      <c r="C743" s="37"/>
      <c r="D743" s="35"/>
      <c r="E743" s="35"/>
    </row>
    <row r="744">
      <c r="A744" s="35"/>
      <c r="C744" s="37"/>
      <c r="D744" s="35"/>
      <c r="E744" s="35"/>
    </row>
    <row r="745">
      <c r="A745" s="35"/>
      <c r="C745" s="37"/>
      <c r="D745" s="35"/>
      <c r="E745" s="35"/>
    </row>
    <row r="746">
      <c r="A746" s="35"/>
      <c r="C746" s="37"/>
      <c r="D746" s="35"/>
      <c r="E746" s="35"/>
    </row>
    <row r="747">
      <c r="A747" s="35"/>
      <c r="C747" s="37"/>
      <c r="D747" s="35"/>
      <c r="E747" s="35"/>
    </row>
    <row r="748">
      <c r="A748" s="35"/>
      <c r="C748" s="37"/>
      <c r="D748" s="35"/>
      <c r="E748" s="35"/>
    </row>
    <row r="749">
      <c r="A749" s="35"/>
      <c r="C749" s="37"/>
      <c r="D749" s="35"/>
      <c r="E749" s="35"/>
    </row>
    <row r="750">
      <c r="A750" s="35"/>
      <c r="C750" s="37"/>
      <c r="D750" s="35"/>
      <c r="E750" s="35"/>
    </row>
    <row r="751">
      <c r="A751" s="35"/>
      <c r="C751" s="37"/>
      <c r="D751" s="35"/>
      <c r="E751" s="35"/>
    </row>
    <row r="752">
      <c r="A752" s="35"/>
      <c r="C752" s="37"/>
      <c r="D752" s="35"/>
      <c r="E752" s="35"/>
    </row>
    <row r="753">
      <c r="A753" s="35"/>
      <c r="C753" s="37"/>
      <c r="D753" s="35"/>
      <c r="E753" s="35"/>
    </row>
    <row r="754">
      <c r="A754" s="35"/>
      <c r="C754" s="37"/>
      <c r="D754" s="35"/>
      <c r="E754" s="35"/>
    </row>
    <row r="755">
      <c r="A755" s="35"/>
      <c r="C755" s="37"/>
      <c r="D755" s="35"/>
      <c r="E755" s="35"/>
    </row>
    <row r="756">
      <c r="A756" s="35"/>
      <c r="C756" s="37"/>
      <c r="D756" s="35"/>
      <c r="E756" s="35"/>
    </row>
    <row r="757">
      <c r="A757" s="35"/>
      <c r="C757" s="37"/>
      <c r="D757" s="35"/>
      <c r="E757" s="35"/>
    </row>
    <row r="758">
      <c r="A758" s="35"/>
      <c r="C758" s="37"/>
      <c r="D758" s="35"/>
      <c r="E758" s="35"/>
    </row>
    <row r="759">
      <c r="A759" s="35"/>
      <c r="C759" s="37"/>
      <c r="D759" s="35"/>
      <c r="E759" s="35"/>
    </row>
    <row r="760">
      <c r="A760" s="35"/>
      <c r="C760" s="37"/>
      <c r="D760" s="35"/>
      <c r="E760" s="35"/>
    </row>
    <row r="761">
      <c r="A761" s="35"/>
      <c r="C761" s="37"/>
      <c r="D761" s="35"/>
      <c r="E761" s="35"/>
    </row>
    <row r="762">
      <c r="A762" s="35"/>
      <c r="C762" s="37"/>
      <c r="D762" s="35"/>
      <c r="E762" s="35"/>
    </row>
    <row r="763">
      <c r="A763" s="35"/>
      <c r="C763" s="37"/>
      <c r="D763" s="35"/>
      <c r="E763" s="35"/>
    </row>
    <row r="764">
      <c r="A764" s="35"/>
      <c r="C764" s="37"/>
      <c r="D764" s="35"/>
      <c r="E764" s="35"/>
    </row>
    <row r="765">
      <c r="A765" s="35"/>
      <c r="C765" s="37"/>
      <c r="D765" s="35"/>
      <c r="E765" s="35"/>
    </row>
    <row r="766">
      <c r="A766" s="35"/>
      <c r="C766" s="37"/>
      <c r="D766" s="35"/>
      <c r="E766" s="35"/>
    </row>
    <row r="767">
      <c r="A767" s="35"/>
      <c r="C767" s="37"/>
      <c r="D767" s="35"/>
      <c r="E767" s="35"/>
    </row>
    <row r="768">
      <c r="A768" s="35"/>
      <c r="C768" s="37"/>
      <c r="D768" s="35"/>
      <c r="E768" s="35"/>
    </row>
    <row r="769">
      <c r="A769" s="35"/>
      <c r="C769" s="37"/>
      <c r="D769" s="35"/>
      <c r="E769" s="35"/>
    </row>
    <row r="770">
      <c r="A770" s="35"/>
      <c r="C770" s="37"/>
      <c r="D770" s="35"/>
      <c r="E770" s="35"/>
    </row>
    <row r="771">
      <c r="A771" s="35"/>
      <c r="C771" s="37"/>
      <c r="D771" s="35"/>
      <c r="E771" s="35"/>
    </row>
    <row r="772">
      <c r="A772" s="35"/>
      <c r="C772" s="37"/>
      <c r="D772" s="35"/>
      <c r="E772" s="35"/>
    </row>
    <row r="773">
      <c r="A773" s="35"/>
      <c r="C773" s="37"/>
      <c r="D773" s="35"/>
      <c r="E773" s="35"/>
    </row>
    <row r="774">
      <c r="A774" s="35"/>
      <c r="C774" s="37"/>
      <c r="D774" s="35"/>
      <c r="E774" s="35"/>
    </row>
    <row r="775">
      <c r="A775" s="35"/>
      <c r="C775" s="37"/>
      <c r="D775" s="35"/>
      <c r="E775" s="35"/>
    </row>
    <row r="776">
      <c r="A776" s="35"/>
      <c r="C776" s="37"/>
      <c r="D776" s="35"/>
      <c r="E776" s="35"/>
    </row>
    <row r="777">
      <c r="A777" s="35"/>
      <c r="C777" s="37"/>
      <c r="D777" s="35"/>
      <c r="E777" s="35"/>
    </row>
    <row r="778">
      <c r="A778" s="35"/>
      <c r="C778" s="37"/>
      <c r="D778" s="35"/>
      <c r="E778" s="35"/>
    </row>
    <row r="779">
      <c r="A779" s="35"/>
      <c r="C779" s="37"/>
      <c r="D779" s="35"/>
      <c r="E779" s="35"/>
    </row>
    <row r="780">
      <c r="A780" s="35"/>
      <c r="C780" s="37"/>
      <c r="D780" s="35"/>
      <c r="E780" s="35"/>
    </row>
    <row r="781">
      <c r="A781" s="35"/>
      <c r="C781" s="37"/>
      <c r="D781" s="35"/>
      <c r="E781" s="35"/>
    </row>
    <row r="782">
      <c r="A782" s="35"/>
      <c r="C782" s="37"/>
      <c r="D782" s="35"/>
      <c r="E782" s="35"/>
    </row>
    <row r="783">
      <c r="A783" s="35"/>
      <c r="C783" s="37"/>
      <c r="D783" s="35"/>
      <c r="E783" s="35"/>
    </row>
    <row r="784">
      <c r="A784" s="35"/>
      <c r="C784" s="37"/>
      <c r="D784" s="35"/>
      <c r="E784" s="35"/>
    </row>
    <row r="785">
      <c r="A785" s="35"/>
      <c r="C785" s="37"/>
      <c r="D785" s="35"/>
      <c r="E785" s="35"/>
    </row>
    <row r="786">
      <c r="A786" s="35"/>
      <c r="C786" s="37"/>
      <c r="D786" s="35"/>
      <c r="E786" s="35"/>
    </row>
    <row r="787">
      <c r="A787" s="35"/>
      <c r="C787" s="37"/>
      <c r="D787" s="35"/>
      <c r="E787" s="35"/>
    </row>
    <row r="788">
      <c r="A788" s="35"/>
      <c r="C788" s="37"/>
      <c r="D788" s="35"/>
      <c r="E788" s="35"/>
    </row>
    <row r="789">
      <c r="A789" s="35"/>
      <c r="C789" s="37"/>
      <c r="D789" s="35"/>
      <c r="E789" s="35"/>
    </row>
    <row r="790">
      <c r="A790" s="35"/>
      <c r="C790" s="37"/>
      <c r="D790" s="35"/>
      <c r="E790" s="35"/>
    </row>
    <row r="791">
      <c r="A791" s="35"/>
      <c r="C791" s="37"/>
      <c r="D791" s="35"/>
      <c r="E791" s="35"/>
    </row>
    <row r="792">
      <c r="A792" s="35"/>
      <c r="C792" s="37"/>
      <c r="D792" s="35"/>
      <c r="E792" s="35"/>
    </row>
    <row r="793">
      <c r="A793" s="35"/>
      <c r="C793" s="37"/>
      <c r="D793" s="35"/>
      <c r="E793" s="35"/>
    </row>
    <row r="794">
      <c r="A794" s="35"/>
      <c r="C794" s="37"/>
      <c r="D794" s="35"/>
      <c r="E794" s="35"/>
    </row>
    <row r="795">
      <c r="A795" s="35"/>
      <c r="C795" s="37"/>
      <c r="D795" s="35"/>
      <c r="E795" s="35"/>
    </row>
    <row r="796">
      <c r="A796" s="35"/>
      <c r="C796" s="37"/>
      <c r="D796" s="35"/>
      <c r="E796" s="35"/>
    </row>
    <row r="797">
      <c r="A797" s="35"/>
      <c r="C797" s="37"/>
      <c r="D797" s="35"/>
      <c r="E797" s="35"/>
    </row>
    <row r="798">
      <c r="A798" s="35"/>
      <c r="C798" s="37"/>
      <c r="D798" s="35"/>
      <c r="E798" s="35"/>
    </row>
    <row r="799">
      <c r="A799" s="35"/>
      <c r="C799" s="37"/>
      <c r="D799" s="35"/>
      <c r="E799" s="35"/>
    </row>
    <row r="800">
      <c r="A800" s="35"/>
      <c r="C800" s="37"/>
      <c r="D800" s="35"/>
      <c r="E800" s="35"/>
    </row>
    <row r="801">
      <c r="A801" s="35"/>
      <c r="C801" s="37"/>
      <c r="D801" s="35"/>
      <c r="E801" s="35"/>
    </row>
    <row r="802">
      <c r="A802" s="35"/>
      <c r="C802" s="37"/>
      <c r="D802" s="35"/>
      <c r="E802" s="35"/>
    </row>
    <row r="803">
      <c r="A803" s="35"/>
      <c r="C803" s="37"/>
      <c r="D803" s="35"/>
      <c r="E803" s="35"/>
    </row>
    <row r="804">
      <c r="A804" s="35"/>
      <c r="C804" s="37"/>
      <c r="D804" s="35"/>
      <c r="E804" s="35"/>
    </row>
    <row r="805">
      <c r="A805" s="35"/>
      <c r="C805" s="37"/>
      <c r="D805" s="35"/>
      <c r="E805" s="35"/>
    </row>
    <row r="806">
      <c r="A806" s="35"/>
      <c r="C806" s="37"/>
      <c r="D806" s="35"/>
      <c r="E806" s="35"/>
    </row>
    <row r="807">
      <c r="A807" s="35"/>
      <c r="C807" s="37"/>
      <c r="D807" s="35"/>
      <c r="E807" s="35"/>
    </row>
    <row r="808">
      <c r="A808" s="35"/>
      <c r="C808" s="37"/>
      <c r="D808" s="35"/>
      <c r="E808" s="35"/>
    </row>
    <row r="809">
      <c r="A809" s="35"/>
      <c r="C809" s="37"/>
      <c r="D809" s="35"/>
      <c r="E809" s="35"/>
    </row>
    <row r="810">
      <c r="A810" s="35"/>
      <c r="C810" s="37"/>
      <c r="D810" s="35"/>
      <c r="E810" s="35"/>
    </row>
    <row r="811">
      <c r="A811" s="35"/>
      <c r="C811" s="37"/>
      <c r="D811" s="35"/>
      <c r="E811" s="35"/>
    </row>
    <row r="812">
      <c r="A812" s="35"/>
      <c r="C812" s="37"/>
      <c r="D812" s="35"/>
      <c r="E812" s="35"/>
    </row>
    <row r="813">
      <c r="A813" s="35"/>
      <c r="C813" s="37"/>
      <c r="D813" s="35"/>
      <c r="E813" s="35"/>
    </row>
    <row r="814">
      <c r="A814" s="35"/>
      <c r="C814" s="37"/>
      <c r="D814" s="35"/>
      <c r="E814" s="35"/>
    </row>
    <row r="815">
      <c r="A815" s="35"/>
      <c r="C815" s="37"/>
      <c r="D815" s="35"/>
      <c r="E815" s="35"/>
    </row>
    <row r="816">
      <c r="A816" s="35"/>
      <c r="C816" s="37"/>
      <c r="D816" s="35"/>
      <c r="E816" s="35"/>
    </row>
    <row r="817">
      <c r="A817" s="35"/>
      <c r="C817" s="37"/>
      <c r="D817" s="35"/>
      <c r="E817" s="35"/>
    </row>
    <row r="818">
      <c r="A818" s="35"/>
      <c r="C818" s="37"/>
      <c r="D818" s="35"/>
      <c r="E818" s="35"/>
    </row>
    <row r="819">
      <c r="A819" s="35"/>
      <c r="C819" s="37"/>
      <c r="D819" s="35"/>
      <c r="E819" s="35"/>
    </row>
    <row r="820">
      <c r="A820" s="35"/>
      <c r="C820" s="37"/>
      <c r="D820" s="35"/>
      <c r="E820" s="35"/>
    </row>
    <row r="821">
      <c r="A821" s="35"/>
      <c r="C821" s="37"/>
      <c r="D821" s="35"/>
      <c r="E821" s="35"/>
    </row>
    <row r="822">
      <c r="A822" s="35"/>
      <c r="C822" s="37"/>
      <c r="D822" s="35"/>
      <c r="E822" s="35"/>
    </row>
    <row r="823">
      <c r="A823" s="35"/>
      <c r="C823" s="37"/>
      <c r="D823" s="35"/>
      <c r="E823" s="35"/>
    </row>
    <row r="824">
      <c r="A824" s="35"/>
      <c r="C824" s="37"/>
      <c r="D824" s="35"/>
      <c r="E824" s="35"/>
    </row>
    <row r="825">
      <c r="A825" s="35"/>
      <c r="C825" s="37"/>
      <c r="D825" s="35"/>
      <c r="E825" s="35"/>
    </row>
    <row r="826">
      <c r="A826" s="35"/>
      <c r="C826" s="37"/>
      <c r="D826" s="35"/>
      <c r="E826" s="35"/>
    </row>
    <row r="827">
      <c r="A827" s="35"/>
      <c r="C827" s="37"/>
      <c r="D827" s="35"/>
      <c r="E827" s="35"/>
    </row>
    <row r="828">
      <c r="A828" s="35"/>
      <c r="C828" s="37"/>
      <c r="D828" s="35"/>
      <c r="E828" s="35"/>
    </row>
    <row r="829">
      <c r="A829" s="35"/>
      <c r="C829" s="37"/>
      <c r="D829" s="35"/>
      <c r="E829" s="35"/>
    </row>
    <row r="830">
      <c r="A830" s="35"/>
      <c r="C830" s="37"/>
      <c r="D830" s="35"/>
      <c r="E830" s="35"/>
    </row>
    <row r="831">
      <c r="A831" s="35"/>
      <c r="C831" s="37"/>
      <c r="D831" s="35"/>
      <c r="E831" s="35"/>
    </row>
    <row r="832">
      <c r="A832" s="35"/>
      <c r="C832" s="37"/>
      <c r="D832" s="35"/>
      <c r="E832" s="35"/>
    </row>
    <row r="833">
      <c r="A833" s="35"/>
      <c r="C833" s="37"/>
      <c r="D833" s="35"/>
      <c r="E833" s="35"/>
    </row>
    <row r="834">
      <c r="A834" s="35"/>
      <c r="C834" s="37"/>
      <c r="D834" s="35"/>
      <c r="E834" s="35"/>
    </row>
    <row r="835">
      <c r="A835" s="35"/>
      <c r="C835" s="37"/>
      <c r="D835" s="35"/>
      <c r="E835" s="35"/>
    </row>
    <row r="836">
      <c r="A836" s="35"/>
      <c r="C836" s="37"/>
      <c r="D836" s="35"/>
      <c r="E836" s="35"/>
    </row>
    <row r="837">
      <c r="A837" s="35"/>
      <c r="C837" s="37"/>
      <c r="D837" s="35"/>
      <c r="E837" s="35"/>
    </row>
    <row r="838">
      <c r="A838" s="35"/>
      <c r="C838" s="37"/>
      <c r="D838" s="35"/>
      <c r="E838" s="35"/>
    </row>
    <row r="839">
      <c r="A839" s="35"/>
      <c r="C839" s="37"/>
      <c r="D839" s="35"/>
      <c r="E839" s="35"/>
    </row>
    <row r="840">
      <c r="A840" s="35"/>
      <c r="C840" s="37"/>
      <c r="D840" s="35"/>
      <c r="E840" s="35"/>
    </row>
    <row r="841">
      <c r="A841" s="35"/>
      <c r="C841" s="37"/>
      <c r="D841" s="35"/>
      <c r="E841" s="35"/>
    </row>
    <row r="842">
      <c r="A842" s="35"/>
      <c r="C842" s="37"/>
      <c r="D842" s="35"/>
      <c r="E842" s="35"/>
    </row>
    <row r="843">
      <c r="A843" s="35"/>
      <c r="C843" s="37"/>
      <c r="D843" s="35"/>
      <c r="E843" s="35"/>
    </row>
    <row r="844">
      <c r="A844" s="35"/>
      <c r="C844" s="37"/>
      <c r="D844" s="35"/>
      <c r="E844" s="35"/>
    </row>
    <row r="845">
      <c r="A845" s="35"/>
      <c r="C845" s="37"/>
      <c r="D845" s="35"/>
      <c r="E845" s="35"/>
    </row>
    <row r="846">
      <c r="A846" s="35"/>
      <c r="C846" s="37"/>
      <c r="D846" s="35"/>
      <c r="E846" s="35"/>
    </row>
    <row r="847">
      <c r="A847" s="35"/>
      <c r="C847" s="37"/>
      <c r="D847" s="35"/>
      <c r="E847" s="35"/>
    </row>
    <row r="848">
      <c r="A848" s="35"/>
      <c r="C848" s="37"/>
      <c r="D848" s="35"/>
      <c r="E848" s="35"/>
    </row>
    <row r="849">
      <c r="A849" s="35"/>
      <c r="C849" s="37"/>
      <c r="D849" s="35"/>
      <c r="E849" s="35"/>
    </row>
    <row r="850">
      <c r="A850" s="35"/>
      <c r="C850" s="37"/>
      <c r="D850" s="35"/>
      <c r="E850" s="35"/>
    </row>
    <row r="851">
      <c r="A851" s="35"/>
      <c r="C851" s="37"/>
      <c r="D851" s="35"/>
      <c r="E851" s="35"/>
    </row>
    <row r="852">
      <c r="A852" s="35"/>
      <c r="C852" s="37"/>
      <c r="D852" s="35"/>
      <c r="E852" s="35"/>
    </row>
    <row r="853">
      <c r="A853" s="35"/>
      <c r="C853" s="37"/>
      <c r="D853" s="35"/>
      <c r="E853" s="35"/>
    </row>
    <row r="854">
      <c r="A854" s="35"/>
      <c r="C854" s="37"/>
      <c r="D854" s="35"/>
      <c r="E854" s="35"/>
    </row>
    <row r="855">
      <c r="A855" s="35"/>
      <c r="C855" s="37"/>
      <c r="D855" s="35"/>
      <c r="E855" s="35"/>
    </row>
    <row r="856">
      <c r="A856" s="35"/>
      <c r="C856" s="37"/>
      <c r="D856" s="35"/>
      <c r="E856" s="35"/>
    </row>
    <row r="857">
      <c r="A857" s="35"/>
      <c r="C857" s="37"/>
      <c r="D857" s="35"/>
      <c r="E857" s="35"/>
    </row>
    <row r="858">
      <c r="A858" s="35"/>
      <c r="C858" s="37"/>
      <c r="D858" s="35"/>
      <c r="E858" s="35"/>
    </row>
    <row r="859">
      <c r="A859" s="35"/>
      <c r="C859" s="37"/>
      <c r="D859" s="35"/>
      <c r="E859" s="35"/>
    </row>
    <row r="860">
      <c r="A860" s="35"/>
      <c r="C860" s="37"/>
      <c r="D860" s="35"/>
      <c r="E860" s="35"/>
    </row>
    <row r="861">
      <c r="A861" s="35"/>
      <c r="C861" s="37"/>
      <c r="D861" s="35"/>
      <c r="E861" s="35"/>
    </row>
    <row r="862">
      <c r="A862" s="35"/>
      <c r="C862" s="37"/>
      <c r="D862" s="35"/>
      <c r="E862" s="35"/>
    </row>
    <row r="863">
      <c r="A863" s="35"/>
      <c r="C863" s="37"/>
      <c r="D863" s="35"/>
      <c r="E863" s="35"/>
    </row>
    <row r="864">
      <c r="A864" s="35"/>
      <c r="C864" s="37"/>
      <c r="D864" s="35"/>
      <c r="E864" s="35"/>
    </row>
    <row r="865">
      <c r="A865" s="35"/>
      <c r="C865" s="37"/>
      <c r="D865" s="35"/>
      <c r="E865" s="35"/>
    </row>
    <row r="866">
      <c r="A866" s="35"/>
      <c r="C866" s="37"/>
      <c r="D866" s="35"/>
      <c r="E866" s="35"/>
    </row>
    <row r="867">
      <c r="A867" s="35"/>
      <c r="C867" s="37"/>
      <c r="D867" s="35"/>
      <c r="E867" s="35"/>
    </row>
    <row r="868">
      <c r="A868" s="35"/>
      <c r="C868" s="37"/>
      <c r="D868" s="35"/>
      <c r="E868" s="35"/>
    </row>
    <row r="869">
      <c r="A869" s="35"/>
      <c r="C869" s="37"/>
      <c r="D869" s="35"/>
      <c r="E869" s="35"/>
    </row>
    <row r="870">
      <c r="A870" s="35"/>
      <c r="C870" s="37"/>
      <c r="D870" s="35"/>
      <c r="E870" s="35"/>
    </row>
    <row r="871">
      <c r="A871" s="35"/>
      <c r="C871" s="37"/>
      <c r="D871" s="35"/>
      <c r="E871" s="35"/>
    </row>
    <row r="872">
      <c r="A872" s="35"/>
      <c r="C872" s="37"/>
      <c r="D872" s="35"/>
      <c r="E872" s="35"/>
    </row>
    <row r="873">
      <c r="A873" s="35"/>
      <c r="C873" s="37"/>
      <c r="D873" s="35"/>
      <c r="E873" s="35"/>
    </row>
    <row r="874">
      <c r="A874" s="35"/>
      <c r="C874" s="37"/>
      <c r="D874" s="35"/>
      <c r="E874" s="35"/>
    </row>
    <row r="875">
      <c r="A875" s="35"/>
      <c r="C875" s="37"/>
      <c r="D875" s="35"/>
      <c r="E875" s="35"/>
    </row>
    <row r="876">
      <c r="A876" s="35"/>
      <c r="C876" s="37"/>
      <c r="D876" s="35"/>
      <c r="E876" s="35"/>
    </row>
    <row r="877">
      <c r="A877" s="35"/>
      <c r="C877" s="37"/>
      <c r="D877" s="35"/>
      <c r="E877" s="35"/>
    </row>
    <row r="878">
      <c r="A878" s="35"/>
      <c r="C878" s="37"/>
      <c r="D878" s="35"/>
      <c r="E878" s="35"/>
    </row>
    <row r="879">
      <c r="A879" s="35"/>
      <c r="C879" s="37"/>
      <c r="D879" s="35"/>
      <c r="E879" s="35"/>
    </row>
    <row r="880">
      <c r="A880" s="35"/>
      <c r="C880" s="37"/>
      <c r="D880" s="35"/>
      <c r="E880" s="35"/>
    </row>
    <row r="881">
      <c r="A881" s="35"/>
      <c r="C881" s="37"/>
      <c r="D881" s="35"/>
      <c r="E881" s="35"/>
    </row>
    <row r="882">
      <c r="A882" s="35"/>
      <c r="C882" s="37"/>
      <c r="D882" s="35"/>
      <c r="E882" s="35"/>
    </row>
    <row r="883">
      <c r="A883" s="35"/>
      <c r="C883" s="37"/>
      <c r="D883" s="35"/>
      <c r="E883" s="35"/>
    </row>
    <row r="884">
      <c r="A884" s="35"/>
      <c r="C884" s="37"/>
      <c r="D884" s="35"/>
      <c r="E884" s="35"/>
    </row>
    <row r="885">
      <c r="A885" s="35"/>
      <c r="C885" s="37"/>
      <c r="D885" s="35"/>
      <c r="E885" s="35"/>
    </row>
    <row r="886">
      <c r="A886" s="35"/>
      <c r="C886" s="37"/>
      <c r="D886" s="35"/>
      <c r="E886" s="35"/>
    </row>
    <row r="887">
      <c r="A887" s="35"/>
      <c r="C887" s="37"/>
      <c r="D887" s="35"/>
      <c r="E887" s="35"/>
    </row>
    <row r="888">
      <c r="A888" s="35"/>
      <c r="C888" s="37"/>
      <c r="D888" s="35"/>
      <c r="E888" s="35"/>
    </row>
    <row r="889">
      <c r="A889" s="35"/>
      <c r="C889" s="37"/>
      <c r="D889" s="35"/>
      <c r="E889" s="35"/>
    </row>
    <row r="890">
      <c r="A890" s="35"/>
      <c r="C890" s="37"/>
      <c r="D890" s="35"/>
      <c r="E890" s="35"/>
    </row>
    <row r="891">
      <c r="A891" s="35"/>
      <c r="C891" s="37"/>
      <c r="D891" s="35"/>
      <c r="E891" s="35"/>
    </row>
    <row r="892">
      <c r="A892" s="35"/>
      <c r="C892" s="37"/>
      <c r="D892" s="35"/>
      <c r="E892" s="35"/>
    </row>
    <row r="893">
      <c r="A893" s="35"/>
      <c r="C893" s="37"/>
      <c r="D893" s="35"/>
      <c r="E893" s="35"/>
    </row>
    <row r="894">
      <c r="A894" s="35"/>
      <c r="C894" s="37"/>
      <c r="D894" s="35"/>
      <c r="E894" s="35"/>
    </row>
    <row r="895">
      <c r="A895" s="35"/>
      <c r="C895" s="37"/>
      <c r="D895" s="35"/>
      <c r="E895" s="35"/>
    </row>
    <row r="896">
      <c r="A896" s="35"/>
      <c r="C896" s="37"/>
      <c r="D896" s="35"/>
      <c r="E896" s="35"/>
    </row>
    <row r="897">
      <c r="A897" s="35"/>
      <c r="C897" s="37"/>
      <c r="D897" s="35"/>
      <c r="E897" s="35"/>
    </row>
    <row r="898">
      <c r="A898" s="35"/>
      <c r="C898" s="37"/>
      <c r="D898" s="35"/>
      <c r="E898" s="35"/>
    </row>
    <row r="899">
      <c r="A899" s="35"/>
      <c r="C899" s="37"/>
      <c r="D899" s="35"/>
      <c r="E899" s="35"/>
    </row>
    <row r="900">
      <c r="A900" s="35"/>
      <c r="C900" s="37"/>
      <c r="D900" s="35"/>
      <c r="E900" s="35"/>
    </row>
    <row r="901">
      <c r="A901" s="35"/>
      <c r="C901" s="37"/>
      <c r="D901" s="35"/>
      <c r="E901" s="35"/>
    </row>
    <row r="902">
      <c r="A902" s="35"/>
      <c r="C902" s="37"/>
      <c r="D902" s="35"/>
      <c r="E902" s="35"/>
    </row>
    <row r="903">
      <c r="A903" s="35"/>
      <c r="C903" s="37"/>
      <c r="D903" s="35"/>
      <c r="E903" s="35"/>
    </row>
    <row r="904">
      <c r="A904" s="35"/>
      <c r="C904" s="37"/>
      <c r="D904" s="35"/>
      <c r="E904" s="35"/>
    </row>
    <row r="905">
      <c r="A905" s="35"/>
      <c r="C905" s="37"/>
      <c r="D905" s="35"/>
      <c r="E905" s="35"/>
    </row>
    <row r="906">
      <c r="A906" s="35"/>
      <c r="C906" s="37"/>
      <c r="D906" s="35"/>
      <c r="E906" s="35"/>
    </row>
    <row r="907">
      <c r="A907" s="35"/>
      <c r="C907" s="37"/>
      <c r="D907" s="35"/>
      <c r="E907" s="35"/>
    </row>
    <row r="908">
      <c r="A908" s="35"/>
      <c r="C908" s="37"/>
      <c r="D908" s="35"/>
      <c r="E908" s="35"/>
    </row>
    <row r="909">
      <c r="A909" s="35"/>
      <c r="C909" s="37"/>
      <c r="D909" s="35"/>
      <c r="E909" s="35"/>
    </row>
    <row r="910">
      <c r="A910" s="35"/>
      <c r="C910" s="37"/>
      <c r="D910" s="35"/>
      <c r="E910" s="35"/>
    </row>
    <row r="911">
      <c r="A911" s="35"/>
      <c r="C911" s="37"/>
      <c r="D911" s="35"/>
      <c r="E911" s="35"/>
    </row>
    <row r="912">
      <c r="A912" s="35"/>
      <c r="C912" s="37"/>
      <c r="D912" s="35"/>
      <c r="E912" s="35"/>
    </row>
    <row r="913">
      <c r="A913" s="35"/>
      <c r="C913" s="37"/>
      <c r="D913" s="35"/>
      <c r="E913" s="35"/>
    </row>
    <row r="914">
      <c r="A914" s="35"/>
      <c r="C914" s="37"/>
      <c r="D914" s="35"/>
      <c r="E914" s="35"/>
    </row>
    <row r="915">
      <c r="A915" s="35"/>
      <c r="C915" s="37"/>
      <c r="D915" s="35"/>
      <c r="E915" s="35"/>
    </row>
    <row r="916">
      <c r="A916" s="35"/>
      <c r="C916" s="37"/>
      <c r="D916" s="35"/>
      <c r="E916" s="35"/>
    </row>
    <row r="917">
      <c r="A917" s="35"/>
      <c r="C917" s="37"/>
      <c r="D917" s="35"/>
      <c r="E917" s="35"/>
    </row>
    <row r="918">
      <c r="A918" s="35"/>
      <c r="C918" s="37"/>
      <c r="D918" s="35"/>
      <c r="E918" s="35"/>
    </row>
    <row r="919">
      <c r="A919" s="35"/>
      <c r="C919" s="37"/>
      <c r="D919" s="35"/>
      <c r="E919" s="35"/>
    </row>
    <row r="920">
      <c r="A920" s="35"/>
      <c r="C920" s="37"/>
      <c r="D920" s="35"/>
      <c r="E920" s="35"/>
    </row>
    <row r="921">
      <c r="A921" s="35"/>
      <c r="C921" s="37"/>
      <c r="D921" s="35"/>
      <c r="E921" s="35"/>
    </row>
    <row r="922">
      <c r="A922" s="35"/>
      <c r="C922" s="37"/>
      <c r="D922" s="35"/>
      <c r="E922" s="35"/>
    </row>
    <row r="923">
      <c r="A923" s="35"/>
      <c r="C923" s="37"/>
      <c r="D923" s="35"/>
      <c r="E923" s="35"/>
    </row>
    <row r="924">
      <c r="A924" s="35"/>
      <c r="C924" s="37"/>
      <c r="D924" s="35"/>
      <c r="E924" s="35"/>
    </row>
    <row r="925">
      <c r="A925" s="35"/>
      <c r="C925" s="37"/>
      <c r="D925" s="35"/>
      <c r="E925" s="35"/>
    </row>
    <row r="926">
      <c r="A926" s="35"/>
      <c r="C926" s="37"/>
      <c r="D926" s="35"/>
      <c r="E926" s="35"/>
    </row>
    <row r="927">
      <c r="A927" s="35"/>
      <c r="C927" s="37"/>
      <c r="D927" s="35"/>
      <c r="E927" s="35"/>
    </row>
    <row r="928">
      <c r="A928" s="35"/>
      <c r="C928" s="37"/>
      <c r="D928" s="35"/>
      <c r="E928" s="35"/>
    </row>
    <row r="929">
      <c r="A929" s="35"/>
      <c r="C929" s="37"/>
      <c r="D929" s="35"/>
      <c r="E929" s="35"/>
    </row>
    <row r="930">
      <c r="A930" s="35"/>
      <c r="C930" s="37"/>
      <c r="D930" s="35"/>
      <c r="E930" s="35"/>
    </row>
    <row r="931">
      <c r="A931" s="35"/>
      <c r="C931" s="37"/>
      <c r="D931" s="35"/>
      <c r="E931" s="35"/>
    </row>
    <row r="932">
      <c r="A932" s="35"/>
      <c r="C932" s="37"/>
      <c r="D932" s="35"/>
      <c r="E932" s="35"/>
    </row>
    <row r="933">
      <c r="A933" s="35"/>
      <c r="C933" s="37"/>
      <c r="D933" s="35"/>
      <c r="E933" s="35"/>
    </row>
    <row r="934">
      <c r="A934" s="35"/>
      <c r="C934" s="37"/>
      <c r="D934" s="35"/>
      <c r="E934" s="35"/>
    </row>
    <row r="935">
      <c r="A935" s="35"/>
      <c r="C935" s="37"/>
      <c r="D935" s="35"/>
      <c r="E935" s="35"/>
    </row>
    <row r="936">
      <c r="A936" s="35"/>
      <c r="C936" s="37"/>
      <c r="D936" s="35"/>
      <c r="E936" s="35"/>
    </row>
    <row r="937">
      <c r="A937" s="35"/>
      <c r="C937" s="37"/>
      <c r="D937" s="35"/>
      <c r="E937" s="35"/>
    </row>
    <row r="938">
      <c r="A938" s="35"/>
      <c r="C938" s="37"/>
      <c r="D938" s="35"/>
      <c r="E938" s="35"/>
    </row>
    <row r="939">
      <c r="A939" s="35"/>
      <c r="C939" s="37"/>
      <c r="D939" s="35"/>
      <c r="E939" s="35"/>
    </row>
    <row r="940">
      <c r="A940" s="35"/>
      <c r="C940" s="37"/>
      <c r="D940" s="35"/>
      <c r="E940" s="35"/>
    </row>
    <row r="941">
      <c r="A941" s="35"/>
      <c r="C941" s="37"/>
      <c r="D941" s="35"/>
      <c r="E941" s="35"/>
    </row>
    <row r="942">
      <c r="A942" s="35"/>
      <c r="C942" s="37"/>
      <c r="D942" s="35"/>
      <c r="E942" s="35"/>
    </row>
    <row r="943">
      <c r="A943" s="35"/>
      <c r="C943" s="37"/>
      <c r="D943" s="35"/>
      <c r="E943" s="35"/>
    </row>
    <row r="944">
      <c r="A944" s="35"/>
      <c r="C944" s="37"/>
      <c r="D944" s="35"/>
      <c r="E944" s="35"/>
    </row>
    <row r="945">
      <c r="A945" s="35"/>
      <c r="C945" s="37"/>
      <c r="D945" s="35"/>
      <c r="E945" s="35"/>
    </row>
    <row r="946">
      <c r="A946" s="35"/>
      <c r="C946" s="37"/>
      <c r="D946" s="35"/>
      <c r="E946" s="35"/>
    </row>
    <row r="947">
      <c r="A947" s="35"/>
      <c r="C947" s="37"/>
      <c r="D947" s="35"/>
      <c r="E947" s="35"/>
    </row>
    <row r="948">
      <c r="A948" s="35"/>
      <c r="C948" s="37"/>
      <c r="D948" s="35"/>
      <c r="E948" s="35"/>
    </row>
    <row r="949">
      <c r="A949" s="35"/>
      <c r="C949" s="37"/>
      <c r="D949" s="35"/>
      <c r="E949" s="35"/>
    </row>
    <row r="950">
      <c r="A950" s="35"/>
      <c r="C950" s="37"/>
      <c r="D950" s="35"/>
      <c r="E950" s="35"/>
    </row>
    <row r="951">
      <c r="A951" s="35"/>
      <c r="C951" s="37"/>
      <c r="D951" s="35"/>
      <c r="E951" s="35"/>
    </row>
    <row r="952">
      <c r="A952" s="35"/>
      <c r="C952" s="37"/>
      <c r="D952" s="35"/>
      <c r="E952" s="35"/>
    </row>
    <row r="953">
      <c r="A953" s="35"/>
      <c r="C953" s="37"/>
      <c r="D953" s="35"/>
      <c r="E953" s="35"/>
    </row>
    <row r="954">
      <c r="A954" s="35"/>
      <c r="C954" s="37"/>
      <c r="D954" s="35"/>
      <c r="E954" s="35"/>
    </row>
    <row r="955">
      <c r="A955" s="35"/>
      <c r="C955" s="37"/>
      <c r="D955" s="35"/>
      <c r="E955" s="35"/>
    </row>
    <row r="956">
      <c r="A956" s="35"/>
      <c r="C956" s="37"/>
      <c r="D956" s="35"/>
      <c r="E956" s="35"/>
    </row>
    <row r="957">
      <c r="A957" s="35"/>
      <c r="C957" s="37"/>
      <c r="D957" s="35"/>
      <c r="E957" s="35"/>
    </row>
    <row r="958">
      <c r="A958" s="35"/>
      <c r="C958" s="37"/>
      <c r="D958" s="35"/>
      <c r="E958" s="35"/>
    </row>
    <row r="959">
      <c r="A959" s="35"/>
      <c r="C959" s="37"/>
      <c r="D959" s="35"/>
      <c r="E959" s="35"/>
    </row>
    <row r="960">
      <c r="A960" s="35"/>
      <c r="C960" s="37"/>
      <c r="D960" s="35"/>
      <c r="E960" s="35"/>
    </row>
    <row r="961">
      <c r="A961" s="35"/>
      <c r="C961" s="37"/>
      <c r="D961" s="35"/>
      <c r="E961" s="35"/>
    </row>
    <row r="962">
      <c r="A962" s="35"/>
      <c r="C962" s="37"/>
      <c r="D962" s="35"/>
      <c r="E962" s="35"/>
    </row>
    <row r="963">
      <c r="A963" s="35"/>
      <c r="C963" s="37"/>
      <c r="D963" s="35"/>
      <c r="E963" s="35"/>
    </row>
    <row r="964">
      <c r="A964" s="35"/>
      <c r="C964" s="37"/>
      <c r="D964" s="35"/>
      <c r="E964" s="35"/>
    </row>
    <row r="965">
      <c r="A965" s="35"/>
      <c r="C965" s="37"/>
      <c r="D965" s="35"/>
      <c r="E965" s="35"/>
    </row>
    <row r="966">
      <c r="A966" s="35"/>
      <c r="C966" s="37"/>
      <c r="D966" s="35"/>
      <c r="E966" s="35"/>
    </row>
    <row r="967">
      <c r="A967" s="35"/>
      <c r="C967" s="37"/>
      <c r="D967" s="35"/>
      <c r="E967" s="35"/>
    </row>
    <row r="968">
      <c r="A968" s="35"/>
      <c r="C968" s="37"/>
      <c r="D968" s="35"/>
      <c r="E968" s="35"/>
    </row>
    <row r="969">
      <c r="A969" s="35"/>
      <c r="C969" s="37"/>
      <c r="D969" s="35"/>
      <c r="E969" s="35"/>
    </row>
    <row r="970">
      <c r="A970" s="35"/>
      <c r="C970" s="37"/>
      <c r="D970" s="35"/>
      <c r="E970" s="35"/>
    </row>
    <row r="971">
      <c r="A971" s="35"/>
      <c r="C971" s="37"/>
      <c r="D971" s="35"/>
      <c r="E971" s="35"/>
    </row>
    <row r="972">
      <c r="A972" s="35"/>
      <c r="C972" s="37"/>
      <c r="D972" s="35"/>
      <c r="E972" s="35"/>
    </row>
    <row r="973">
      <c r="A973" s="35"/>
      <c r="C973" s="37"/>
      <c r="D973" s="35"/>
      <c r="E973" s="35"/>
    </row>
    <row r="974">
      <c r="A974" s="35"/>
      <c r="C974" s="37"/>
      <c r="D974" s="35"/>
      <c r="E974" s="35"/>
    </row>
    <row r="975">
      <c r="A975" s="35"/>
      <c r="C975" s="37"/>
      <c r="D975" s="35"/>
      <c r="E975" s="35"/>
    </row>
    <row r="976">
      <c r="A976" s="35"/>
      <c r="C976" s="37"/>
      <c r="D976" s="35"/>
      <c r="E976" s="35"/>
    </row>
    <row r="977">
      <c r="A977" s="35"/>
      <c r="C977" s="37"/>
      <c r="D977" s="35"/>
      <c r="E977" s="35"/>
    </row>
    <row r="978">
      <c r="A978" s="35"/>
      <c r="C978" s="37"/>
      <c r="D978" s="35"/>
      <c r="E978" s="35"/>
    </row>
    <row r="979">
      <c r="A979" s="35"/>
      <c r="C979" s="37"/>
      <c r="D979" s="35"/>
      <c r="E979" s="35"/>
    </row>
    <row r="980">
      <c r="A980" s="35"/>
      <c r="C980" s="37"/>
      <c r="D980" s="35"/>
      <c r="E980" s="35"/>
    </row>
    <row r="981">
      <c r="A981" s="35"/>
      <c r="C981" s="37"/>
      <c r="D981" s="35"/>
      <c r="E981" s="35"/>
    </row>
    <row r="982">
      <c r="A982" s="35"/>
      <c r="C982" s="37"/>
      <c r="D982" s="35"/>
      <c r="E982" s="35"/>
    </row>
    <row r="983">
      <c r="A983" s="35"/>
      <c r="C983" s="37"/>
      <c r="D983" s="35"/>
      <c r="E983" s="35"/>
    </row>
    <row r="984">
      <c r="A984" s="35"/>
      <c r="C984" s="37"/>
      <c r="D984" s="35"/>
      <c r="E984" s="35"/>
    </row>
    <row r="985">
      <c r="A985" s="35"/>
      <c r="C985" s="37"/>
      <c r="D985" s="35"/>
      <c r="E985" s="35"/>
    </row>
    <row r="986">
      <c r="A986" s="35"/>
      <c r="C986" s="37"/>
      <c r="D986" s="35"/>
      <c r="E986" s="35"/>
    </row>
    <row r="987">
      <c r="A987" s="35"/>
      <c r="C987" s="37"/>
      <c r="D987" s="35"/>
      <c r="E987" s="35"/>
    </row>
    <row r="988">
      <c r="A988" s="35"/>
      <c r="C988" s="37"/>
      <c r="D988" s="35"/>
      <c r="E988" s="35"/>
    </row>
    <row r="989">
      <c r="A989" s="35"/>
      <c r="C989" s="37"/>
      <c r="D989" s="35"/>
      <c r="E989" s="35"/>
    </row>
    <row r="990">
      <c r="A990" s="35"/>
      <c r="C990" s="37"/>
      <c r="D990" s="35"/>
      <c r="E990" s="35"/>
    </row>
    <row r="991">
      <c r="A991" s="35"/>
      <c r="C991" s="37"/>
      <c r="D991" s="35"/>
      <c r="E991" s="35"/>
    </row>
    <row r="992">
      <c r="A992" s="35"/>
      <c r="C992" s="37"/>
      <c r="D992" s="35"/>
      <c r="E992" s="35"/>
    </row>
    <row r="993">
      <c r="A993" s="35"/>
      <c r="C993" s="37"/>
      <c r="D993" s="35"/>
      <c r="E993" s="35"/>
    </row>
    <row r="994">
      <c r="A994" s="35"/>
      <c r="C994" s="37"/>
      <c r="D994" s="35"/>
      <c r="E994" s="35"/>
    </row>
    <row r="995">
      <c r="A995" s="35"/>
      <c r="C995" s="37"/>
      <c r="D995" s="35"/>
      <c r="E995" s="35"/>
    </row>
    <row r="996">
      <c r="A996" s="35"/>
      <c r="C996" s="37"/>
      <c r="D996" s="35"/>
      <c r="E996" s="35"/>
    </row>
    <row r="997">
      <c r="A997" s="35"/>
      <c r="C997" s="37"/>
      <c r="D997" s="35"/>
      <c r="E997" s="35"/>
    </row>
    <row r="998">
      <c r="A998" s="35"/>
      <c r="C998" s="37"/>
      <c r="D998" s="35"/>
      <c r="E998" s="35"/>
    </row>
    <row r="999">
      <c r="A999" s="35"/>
      <c r="C999" s="37"/>
      <c r="D999" s="35"/>
      <c r="E999" s="35"/>
    </row>
    <row r="1000">
      <c r="A1000" s="35"/>
      <c r="C1000" s="37"/>
      <c r="D1000" s="35"/>
      <c r="E1000" s="35"/>
    </row>
    <row r="1001">
      <c r="A1001" s="35"/>
      <c r="C1001" s="37"/>
      <c r="D1001" s="35"/>
      <c r="E1001" s="35"/>
    </row>
    <row r="1002">
      <c r="A1002" s="35"/>
      <c r="C1002" s="37"/>
      <c r="D1002" s="35"/>
      <c r="E1002" s="35"/>
    </row>
    <row r="1003">
      <c r="A1003" s="35"/>
      <c r="C1003" s="37"/>
      <c r="D1003" s="35"/>
      <c r="E1003" s="35"/>
    </row>
    <row r="1004">
      <c r="A1004" s="35"/>
      <c r="C1004" s="37"/>
      <c r="D1004" s="35"/>
      <c r="E1004" s="35"/>
    </row>
    <row r="1005">
      <c r="A1005" s="35"/>
      <c r="C1005" s="37"/>
      <c r="D1005" s="35"/>
      <c r="E1005" s="35"/>
    </row>
    <row r="1006">
      <c r="A1006" s="35"/>
      <c r="C1006" s="37"/>
      <c r="D1006" s="35"/>
      <c r="E1006" s="35"/>
    </row>
    <row r="1007">
      <c r="A1007" s="35"/>
      <c r="C1007" s="37"/>
      <c r="D1007" s="35"/>
      <c r="E1007" s="35"/>
    </row>
    <row r="1008">
      <c r="A1008" s="35"/>
      <c r="C1008" s="37"/>
      <c r="D1008" s="35"/>
      <c r="E1008" s="35"/>
    </row>
    <row r="1009">
      <c r="A1009" s="35"/>
      <c r="C1009" s="37"/>
      <c r="D1009" s="35"/>
      <c r="E1009" s="35"/>
    </row>
    <row r="1010">
      <c r="A1010" s="35"/>
      <c r="C1010" s="37"/>
      <c r="D1010" s="35"/>
      <c r="E1010" s="35"/>
    </row>
    <row r="1011">
      <c r="A1011" s="35"/>
      <c r="C1011" s="37"/>
      <c r="D1011" s="35"/>
      <c r="E1011" s="35"/>
    </row>
    <row r="1012">
      <c r="A1012" s="35"/>
      <c r="C1012" s="37"/>
      <c r="D1012" s="35"/>
      <c r="E1012" s="35"/>
    </row>
    <row r="1013">
      <c r="A1013" s="35"/>
      <c r="C1013" s="37"/>
      <c r="D1013" s="35"/>
      <c r="E1013" s="35"/>
    </row>
    <row r="1014">
      <c r="A1014" s="35"/>
      <c r="C1014" s="37"/>
      <c r="D1014" s="35"/>
      <c r="E1014" s="35"/>
    </row>
    <row r="1015">
      <c r="A1015" s="35"/>
      <c r="C1015" s="37"/>
      <c r="D1015" s="35"/>
      <c r="E1015" s="35"/>
    </row>
    <row r="1016">
      <c r="A1016" s="35"/>
      <c r="C1016" s="37"/>
      <c r="D1016" s="35"/>
      <c r="E1016" s="35"/>
    </row>
    <row r="1017">
      <c r="A1017" s="35"/>
      <c r="C1017" s="37"/>
      <c r="D1017" s="35"/>
      <c r="E1017" s="35"/>
    </row>
    <row r="1018">
      <c r="A1018" s="35"/>
      <c r="C1018" s="37"/>
      <c r="D1018" s="35"/>
      <c r="E1018" s="35"/>
    </row>
    <row r="1019">
      <c r="A1019" s="35"/>
      <c r="C1019" s="37"/>
      <c r="D1019" s="35"/>
      <c r="E1019" s="35"/>
    </row>
    <row r="1020">
      <c r="A1020" s="35"/>
      <c r="C1020" s="37"/>
      <c r="D1020" s="35"/>
      <c r="E1020" s="35"/>
    </row>
    <row r="1021">
      <c r="A1021" s="35"/>
      <c r="C1021" s="37"/>
      <c r="D1021" s="35"/>
      <c r="E1021" s="35"/>
    </row>
    <row r="1022">
      <c r="A1022" s="35"/>
      <c r="C1022" s="37"/>
      <c r="D1022" s="35"/>
      <c r="E1022" s="35"/>
    </row>
    <row r="1023">
      <c r="A1023" s="35"/>
      <c r="C1023" s="37"/>
      <c r="D1023" s="35"/>
      <c r="E1023" s="35"/>
    </row>
    <row r="1024">
      <c r="A1024" s="35"/>
      <c r="C1024" s="37"/>
      <c r="D1024" s="35"/>
      <c r="E1024" s="35"/>
    </row>
    <row r="1025">
      <c r="A1025" s="35"/>
      <c r="C1025" s="37"/>
      <c r="D1025" s="35"/>
      <c r="E1025" s="35"/>
    </row>
    <row r="1026">
      <c r="A1026" s="35"/>
      <c r="C1026" s="37"/>
      <c r="D1026" s="35"/>
      <c r="E1026" s="35"/>
    </row>
    <row r="1027">
      <c r="A1027" s="35"/>
      <c r="C1027" s="37"/>
      <c r="D1027" s="35"/>
      <c r="E1027" s="35"/>
    </row>
    <row r="1028">
      <c r="A1028" s="35"/>
      <c r="C1028" s="37"/>
      <c r="D1028" s="35"/>
      <c r="E1028" s="35"/>
    </row>
    <row r="1029">
      <c r="A1029" s="35"/>
      <c r="C1029" s="37"/>
      <c r="D1029" s="35"/>
      <c r="E1029" s="35"/>
    </row>
    <row r="1030">
      <c r="A1030" s="35"/>
      <c r="C1030" s="37"/>
      <c r="D1030" s="35"/>
      <c r="E1030" s="35"/>
    </row>
    <row r="1031">
      <c r="A1031" s="35"/>
      <c r="C1031" s="37"/>
      <c r="D1031" s="35"/>
      <c r="E1031" s="35"/>
    </row>
    <row r="1032">
      <c r="A1032" s="35"/>
      <c r="C1032" s="37"/>
      <c r="D1032" s="35"/>
      <c r="E1032" s="35"/>
    </row>
    <row r="1033">
      <c r="A1033" s="35"/>
      <c r="C1033" s="37"/>
      <c r="D1033" s="35"/>
      <c r="E1033" s="35"/>
    </row>
    <row r="1034">
      <c r="A1034" s="35"/>
      <c r="C1034" s="37"/>
      <c r="D1034" s="35"/>
      <c r="E1034" s="35"/>
    </row>
    <row r="1035">
      <c r="A1035" s="35"/>
      <c r="C1035" s="37"/>
      <c r="D1035" s="35"/>
      <c r="E1035" s="35"/>
    </row>
    <row r="1036">
      <c r="A1036" s="35"/>
      <c r="C1036" s="37"/>
      <c r="D1036" s="35"/>
      <c r="E1036" s="35"/>
    </row>
    <row r="1037">
      <c r="A1037" s="35"/>
      <c r="C1037" s="37"/>
      <c r="D1037" s="35"/>
      <c r="E1037" s="35"/>
    </row>
    <row r="1038">
      <c r="A1038" s="35"/>
      <c r="C1038" s="37"/>
      <c r="D1038" s="35"/>
      <c r="E1038" s="35"/>
    </row>
    <row r="1039">
      <c r="A1039" s="35"/>
      <c r="C1039" s="37"/>
      <c r="D1039" s="35"/>
      <c r="E1039" s="35"/>
    </row>
    <row r="1040">
      <c r="A1040" s="35"/>
      <c r="C1040" s="37"/>
      <c r="D1040" s="35"/>
      <c r="E1040" s="35"/>
    </row>
    <row r="1041">
      <c r="A1041" s="35"/>
      <c r="C1041" s="37"/>
      <c r="D1041" s="35"/>
      <c r="E1041" s="35"/>
    </row>
    <row r="1042">
      <c r="A1042" s="35"/>
      <c r="C1042" s="37"/>
      <c r="D1042" s="35"/>
      <c r="E1042" s="35"/>
    </row>
    <row r="1043">
      <c r="A1043" s="35"/>
      <c r="C1043" s="37"/>
      <c r="D1043" s="35"/>
      <c r="E1043" s="35"/>
    </row>
    <row r="1044">
      <c r="A1044" s="35"/>
      <c r="C1044" s="37"/>
      <c r="D1044" s="35"/>
      <c r="E1044" s="35"/>
    </row>
    <row r="1045">
      <c r="A1045" s="35"/>
      <c r="C1045" s="37"/>
      <c r="D1045" s="35"/>
      <c r="E1045" s="35"/>
    </row>
    <row r="1046">
      <c r="A1046" s="35"/>
      <c r="C1046" s="37"/>
      <c r="D1046" s="35"/>
      <c r="E1046" s="35"/>
    </row>
    <row r="1047">
      <c r="A1047" s="35"/>
      <c r="C1047" s="37"/>
      <c r="D1047" s="35"/>
      <c r="E1047" s="35"/>
    </row>
    <row r="1048">
      <c r="A1048" s="35"/>
      <c r="C1048" s="37"/>
      <c r="D1048" s="35"/>
      <c r="E1048" s="35"/>
    </row>
    <row r="1049">
      <c r="A1049" s="35"/>
      <c r="C1049" s="37"/>
      <c r="D1049" s="35"/>
      <c r="E1049" s="35"/>
    </row>
    <row r="1050">
      <c r="A1050" s="35"/>
      <c r="C1050" s="37"/>
      <c r="D1050" s="35"/>
      <c r="E1050" s="35"/>
    </row>
    <row r="1051">
      <c r="A1051" s="35"/>
      <c r="C1051" s="37"/>
      <c r="D1051" s="35"/>
      <c r="E1051" s="35"/>
    </row>
    <row r="1052">
      <c r="A1052" s="35"/>
      <c r="C1052" s="37"/>
      <c r="D1052" s="35"/>
      <c r="E1052" s="35"/>
    </row>
    <row r="1053">
      <c r="A1053" s="35"/>
      <c r="C1053" s="37"/>
      <c r="D1053" s="35"/>
      <c r="E1053" s="35"/>
    </row>
    <row r="1054">
      <c r="A1054" s="35"/>
      <c r="C1054" s="37"/>
      <c r="D1054" s="35"/>
      <c r="E1054" s="35"/>
    </row>
    <row r="1055">
      <c r="A1055" s="35"/>
      <c r="C1055" s="37"/>
      <c r="D1055" s="35"/>
      <c r="E1055" s="35"/>
    </row>
    <row r="1056">
      <c r="A1056" s="35"/>
      <c r="C1056" s="37"/>
      <c r="D1056" s="35"/>
      <c r="E1056" s="35"/>
    </row>
    <row r="1057">
      <c r="A1057" s="35"/>
      <c r="C1057" s="37"/>
      <c r="D1057" s="35"/>
      <c r="E1057" s="35"/>
    </row>
    <row r="1058">
      <c r="A1058" s="35"/>
      <c r="C1058" s="37"/>
      <c r="D1058" s="35"/>
      <c r="E1058" s="35"/>
    </row>
    <row r="1059">
      <c r="A1059" s="35"/>
      <c r="C1059" s="37"/>
      <c r="D1059" s="35"/>
      <c r="E1059" s="35"/>
    </row>
    <row r="1060">
      <c r="A1060" s="35"/>
      <c r="C1060" s="37"/>
      <c r="D1060" s="35"/>
      <c r="E1060" s="35"/>
    </row>
    <row r="1061">
      <c r="A1061" s="35"/>
      <c r="C1061" s="37"/>
      <c r="D1061" s="35"/>
      <c r="E1061" s="35"/>
    </row>
    <row r="1062">
      <c r="A1062" s="35"/>
      <c r="C1062" s="37"/>
      <c r="D1062" s="35"/>
      <c r="E1062" s="35"/>
    </row>
    <row r="1063">
      <c r="A1063" s="35"/>
      <c r="C1063" s="37"/>
      <c r="D1063" s="35"/>
      <c r="E1063" s="35"/>
    </row>
    <row r="1064">
      <c r="A1064" s="35"/>
      <c r="C1064" s="37"/>
      <c r="D1064" s="35"/>
      <c r="E1064" s="35"/>
    </row>
    <row r="1065">
      <c r="A1065" s="35"/>
      <c r="C1065" s="37"/>
      <c r="D1065" s="35"/>
      <c r="E1065" s="35"/>
    </row>
    <row r="1066">
      <c r="A1066" s="35"/>
      <c r="C1066" s="37"/>
      <c r="D1066" s="35"/>
      <c r="E1066" s="35"/>
    </row>
    <row r="1067">
      <c r="A1067" s="35"/>
      <c r="C1067" s="37"/>
      <c r="D1067" s="35"/>
      <c r="E1067" s="35"/>
    </row>
    <row r="1068">
      <c r="A1068" s="35"/>
      <c r="C1068" s="37"/>
      <c r="D1068" s="35"/>
      <c r="E1068" s="35"/>
    </row>
    <row r="1069">
      <c r="A1069" s="35"/>
      <c r="C1069" s="37"/>
      <c r="D1069" s="35"/>
      <c r="E1069" s="35"/>
    </row>
    <row r="1070">
      <c r="A1070" s="35"/>
      <c r="C1070" s="37"/>
      <c r="D1070" s="35"/>
      <c r="E1070" s="35"/>
    </row>
    <row r="1071">
      <c r="A1071" s="35"/>
      <c r="C1071" s="37"/>
      <c r="D1071" s="35"/>
      <c r="E1071" s="35"/>
    </row>
    <row r="1072">
      <c r="A1072" s="35"/>
      <c r="C1072" s="37"/>
      <c r="D1072" s="35"/>
      <c r="E1072" s="35"/>
    </row>
    <row r="1073">
      <c r="A1073" s="35"/>
      <c r="C1073" s="37"/>
      <c r="D1073" s="35"/>
      <c r="E1073" s="35"/>
    </row>
    <row r="1074">
      <c r="A1074" s="35"/>
      <c r="C1074" s="37"/>
      <c r="D1074" s="35"/>
      <c r="E1074" s="35"/>
    </row>
    <row r="1075">
      <c r="A1075" s="35"/>
      <c r="C1075" s="37"/>
      <c r="D1075" s="35"/>
      <c r="E1075" s="35"/>
    </row>
    <row r="1076">
      <c r="A1076" s="35"/>
      <c r="C1076" s="37"/>
      <c r="D1076" s="35"/>
      <c r="E1076" s="35"/>
    </row>
    <row r="1077">
      <c r="A1077" s="35"/>
      <c r="C1077" s="37"/>
      <c r="D1077" s="35"/>
      <c r="E1077" s="35"/>
    </row>
    <row r="1078">
      <c r="A1078" s="35"/>
      <c r="C1078" s="37"/>
      <c r="D1078" s="35"/>
      <c r="E1078" s="35"/>
    </row>
    <row r="1079">
      <c r="A1079" s="35"/>
      <c r="C1079" s="37"/>
      <c r="D1079" s="35"/>
      <c r="E1079" s="35"/>
    </row>
    <row r="1080">
      <c r="A1080" s="35"/>
      <c r="C1080" s="37"/>
      <c r="D1080" s="35"/>
      <c r="E1080" s="35"/>
    </row>
    <row r="1081">
      <c r="A1081" s="35"/>
      <c r="C1081" s="37"/>
      <c r="D1081" s="35"/>
      <c r="E1081" s="35"/>
    </row>
    <row r="1082">
      <c r="A1082" s="35"/>
      <c r="C1082" s="37"/>
      <c r="D1082" s="35"/>
      <c r="E1082" s="35"/>
    </row>
    <row r="1083">
      <c r="A1083" s="35"/>
      <c r="C1083" s="37"/>
      <c r="D1083" s="35"/>
      <c r="E1083" s="35"/>
    </row>
    <row r="1084">
      <c r="A1084" s="35"/>
      <c r="C1084" s="37"/>
      <c r="D1084" s="35"/>
      <c r="E1084" s="35"/>
    </row>
    <row r="1085">
      <c r="A1085" s="35"/>
      <c r="C1085" s="37"/>
      <c r="D1085" s="35"/>
      <c r="E1085" s="35"/>
    </row>
    <row r="1086">
      <c r="A1086" s="35"/>
      <c r="C1086" s="37"/>
      <c r="D1086" s="35"/>
      <c r="E1086" s="35"/>
    </row>
    <row r="1087">
      <c r="A1087" s="35"/>
      <c r="C1087" s="37"/>
      <c r="D1087" s="35"/>
      <c r="E1087" s="35"/>
    </row>
    <row r="1088">
      <c r="A1088" s="35"/>
      <c r="C1088" s="37"/>
      <c r="D1088" s="35"/>
      <c r="E1088" s="35"/>
    </row>
    <row r="1089">
      <c r="A1089" s="35"/>
      <c r="C1089" s="37"/>
      <c r="D1089" s="35"/>
      <c r="E1089" s="35"/>
    </row>
    <row r="1090">
      <c r="A1090" s="35"/>
      <c r="C1090" s="37"/>
      <c r="D1090" s="35"/>
      <c r="E1090" s="35"/>
    </row>
    <row r="1091">
      <c r="A1091" s="35"/>
      <c r="C1091" s="37"/>
      <c r="D1091" s="35"/>
      <c r="E1091" s="35"/>
    </row>
    <row r="1092">
      <c r="A1092" s="35"/>
      <c r="C1092" s="37"/>
      <c r="D1092" s="35"/>
      <c r="E1092" s="35"/>
    </row>
    <row r="1093">
      <c r="A1093" s="35"/>
      <c r="C1093" s="37"/>
      <c r="D1093" s="35"/>
      <c r="E1093" s="35"/>
    </row>
    <row r="1094">
      <c r="A1094" s="35"/>
      <c r="C1094" s="37"/>
      <c r="D1094" s="35"/>
      <c r="E1094" s="35"/>
    </row>
    <row r="1095">
      <c r="A1095" s="35"/>
      <c r="C1095" s="37"/>
      <c r="D1095" s="35"/>
      <c r="E1095" s="35"/>
    </row>
    <row r="1096">
      <c r="A1096" s="35"/>
      <c r="C1096" s="37"/>
      <c r="D1096" s="35"/>
      <c r="E1096" s="35"/>
    </row>
    <row r="1097">
      <c r="A1097" s="35"/>
      <c r="C1097" s="37"/>
      <c r="D1097" s="35"/>
      <c r="E1097" s="35"/>
    </row>
    <row r="1098">
      <c r="A1098" s="35"/>
      <c r="C1098" s="37"/>
      <c r="D1098" s="35"/>
      <c r="E1098" s="35"/>
    </row>
    <row r="1099">
      <c r="A1099" s="35"/>
      <c r="C1099" s="37"/>
      <c r="D1099" s="35"/>
      <c r="E1099" s="35"/>
    </row>
    <row r="1100">
      <c r="A1100" s="35"/>
      <c r="C1100" s="37"/>
      <c r="D1100" s="35"/>
      <c r="E1100" s="35"/>
    </row>
    <row r="1101">
      <c r="A1101" s="35"/>
      <c r="C1101" s="37"/>
      <c r="D1101" s="35"/>
      <c r="E1101" s="35"/>
    </row>
    <row r="1102">
      <c r="A1102" s="35"/>
      <c r="C1102" s="37"/>
      <c r="D1102" s="35"/>
      <c r="E1102" s="35"/>
    </row>
    <row r="1103">
      <c r="A1103" s="35"/>
      <c r="C1103" s="37"/>
      <c r="D1103" s="35"/>
      <c r="E1103" s="35"/>
    </row>
    <row r="1104">
      <c r="A1104" s="35"/>
      <c r="C1104" s="37"/>
      <c r="D1104" s="35"/>
      <c r="E1104" s="35"/>
    </row>
    <row r="1105">
      <c r="A1105" s="35"/>
      <c r="C1105" s="37"/>
      <c r="D1105" s="35"/>
      <c r="E1105" s="35"/>
    </row>
    <row r="1106">
      <c r="A1106" s="35"/>
      <c r="C1106" s="37"/>
      <c r="D1106" s="35"/>
      <c r="E1106" s="35"/>
    </row>
    <row r="1107">
      <c r="A1107" s="35"/>
      <c r="C1107" s="37"/>
      <c r="D1107" s="35"/>
      <c r="E1107" s="35"/>
    </row>
    <row r="1108">
      <c r="A1108" s="35"/>
      <c r="C1108" s="37"/>
      <c r="D1108" s="35"/>
      <c r="E1108" s="35"/>
    </row>
    <row r="1109">
      <c r="A1109" s="35"/>
      <c r="C1109" s="37"/>
      <c r="D1109" s="35"/>
      <c r="E1109" s="35"/>
    </row>
    <row r="1110">
      <c r="A1110" s="35"/>
      <c r="C1110" s="37"/>
      <c r="D1110" s="35"/>
      <c r="E1110" s="35"/>
    </row>
    <row r="1111">
      <c r="A1111" s="35"/>
      <c r="C1111" s="37"/>
      <c r="D1111" s="35"/>
      <c r="E1111" s="35"/>
    </row>
    <row r="1112">
      <c r="A1112" s="35"/>
      <c r="C1112" s="37"/>
      <c r="D1112" s="35"/>
      <c r="E1112" s="35"/>
    </row>
    <row r="1113">
      <c r="A1113" s="35"/>
      <c r="C1113" s="37"/>
      <c r="D1113" s="35"/>
      <c r="E1113" s="35"/>
    </row>
    <row r="1114">
      <c r="A1114" s="35"/>
      <c r="C1114" s="37"/>
      <c r="D1114" s="35"/>
      <c r="E1114" s="35"/>
    </row>
    <row r="1115">
      <c r="A1115" s="35"/>
      <c r="C1115" s="37"/>
      <c r="D1115" s="35"/>
      <c r="E1115" s="35"/>
    </row>
    <row r="1116">
      <c r="A1116" s="35"/>
      <c r="C1116" s="37"/>
      <c r="D1116" s="35"/>
      <c r="E1116" s="35"/>
    </row>
    <row r="1117">
      <c r="A1117" s="35"/>
      <c r="C1117" s="37"/>
      <c r="D1117" s="35"/>
      <c r="E1117" s="35"/>
    </row>
    <row r="1118">
      <c r="A1118" s="35"/>
      <c r="C1118" s="37"/>
      <c r="D1118" s="35"/>
      <c r="E1118" s="35"/>
    </row>
    <row r="1119">
      <c r="A1119" s="35"/>
      <c r="C1119" s="37"/>
      <c r="D1119" s="35"/>
      <c r="E1119" s="35"/>
    </row>
    <row r="1120">
      <c r="A1120" s="35"/>
      <c r="C1120" s="37"/>
      <c r="D1120" s="35"/>
      <c r="E1120" s="35"/>
    </row>
    <row r="1121">
      <c r="A1121" s="35"/>
      <c r="C1121" s="37"/>
      <c r="D1121" s="35"/>
      <c r="E1121" s="35"/>
    </row>
    <row r="1122">
      <c r="A1122" s="35"/>
      <c r="C1122" s="37"/>
      <c r="D1122" s="35"/>
      <c r="E1122" s="35"/>
    </row>
    <row r="1123">
      <c r="A1123" s="35"/>
      <c r="C1123" s="37"/>
      <c r="D1123" s="35"/>
      <c r="E1123" s="35"/>
    </row>
    <row r="1124">
      <c r="A1124" s="35"/>
      <c r="C1124" s="37"/>
      <c r="D1124" s="35"/>
      <c r="E1124" s="35"/>
    </row>
    <row r="1125">
      <c r="A1125" s="35"/>
      <c r="C1125" s="37"/>
      <c r="D1125" s="35"/>
      <c r="E1125" s="35"/>
    </row>
    <row r="1126">
      <c r="A1126" s="35"/>
      <c r="C1126" s="37"/>
      <c r="D1126" s="35"/>
      <c r="E1126" s="35"/>
    </row>
    <row r="1127">
      <c r="A1127" s="35"/>
      <c r="C1127" s="37"/>
      <c r="D1127" s="35"/>
      <c r="E1127" s="35"/>
    </row>
    <row r="1128">
      <c r="A1128" s="35"/>
      <c r="C1128" s="37"/>
      <c r="D1128" s="35"/>
      <c r="E1128" s="35"/>
    </row>
    <row r="1129">
      <c r="A1129" s="35"/>
      <c r="C1129" s="37"/>
      <c r="D1129" s="35"/>
      <c r="E1129" s="35"/>
    </row>
    <row r="1130">
      <c r="A1130" s="35"/>
      <c r="C1130" s="37"/>
      <c r="D1130" s="35"/>
      <c r="E1130" s="35"/>
    </row>
    <row r="1131">
      <c r="A1131" s="35"/>
      <c r="C1131" s="37"/>
      <c r="D1131" s="35"/>
      <c r="E1131" s="35"/>
    </row>
    <row r="1132">
      <c r="A1132" s="35"/>
      <c r="C1132" s="37"/>
      <c r="D1132" s="35"/>
      <c r="E1132" s="35"/>
    </row>
    <row r="1133">
      <c r="A1133" s="35"/>
      <c r="C1133" s="37"/>
      <c r="D1133" s="35"/>
      <c r="E1133" s="35"/>
    </row>
    <row r="1134">
      <c r="A1134" s="35"/>
      <c r="C1134" s="37"/>
      <c r="D1134" s="35"/>
      <c r="E1134" s="35"/>
    </row>
    <row r="1135">
      <c r="A1135" s="35"/>
      <c r="C1135" s="37"/>
      <c r="D1135" s="35"/>
      <c r="E1135" s="35"/>
    </row>
    <row r="1136">
      <c r="A1136" s="35"/>
      <c r="C1136" s="37"/>
      <c r="D1136" s="35"/>
      <c r="E1136" s="35"/>
    </row>
    <row r="1137">
      <c r="A1137" s="35"/>
      <c r="C1137" s="37"/>
      <c r="D1137" s="35"/>
      <c r="E1137" s="35"/>
    </row>
    <row r="1138">
      <c r="A1138" s="35"/>
      <c r="C1138" s="37"/>
      <c r="D1138" s="35"/>
      <c r="E1138" s="35"/>
    </row>
    <row r="1139">
      <c r="A1139" s="35"/>
      <c r="C1139" s="37"/>
      <c r="D1139" s="35"/>
      <c r="E1139" s="35"/>
    </row>
    <row r="1140">
      <c r="A1140" s="35"/>
      <c r="C1140" s="37"/>
      <c r="D1140" s="35"/>
      <c r="E1140" s="35"/>
    </row>
    <row r="1141">
      <c r="A1141" s="35"/>
      <c r="C1141" s="37"/>
      <c r="D1141" s="35"/>
      <c r="E1141" s="35"/>
    </row>
    <row r="1142">
      <c r="A1142" s="35"/>
      <c r="C1142" s="37"/>
      <c r="D1142" s="35"/>
      <c r="E1142" s="35"/>
    </row>
    <row r="1143">
      <c r="A1143" s="35"/>
      <c r="C1143" s="37"/>
      <c r="D1143" s="35"/>
      <c r="E1143" s="35"/>
    </row>
    <row r="1144">
      <c r="A1144" s="35"/>
      <c r="C1144" s="37"/>
      <c r="D1144" s="35"/>
      <c r="E1144" s="35"/>
    </row>
    <row r="1145">
      <c r="A1145" s="35"/>
      <c r="C1145" s="37"/>
      <c r="D1145" s="35"/>
      <c r="E1145" s="35"/>
    </row>
    <row r="1146">
      <c r="A1146" s="35"/>
      <c r="C1146" s="37"/>
      <c r="D1146" s="35"/>
      <c r="E1146" s="35"/>
    </row>
    <row r="1147">
      <c r="A1147" s="35"/>
      <c r="C1147" s="37"/>
      <c r="D1147" s="35"/>
      <c r="E1147" s="35"/>
    </row>
    <row r="1148">
      <c r="A1148" s="35"/>
      <c r="C1148" s="37"/>
      <c r="D1148" s="35"/>
      <c r="E1148" s="35"/>
    </row>
    <row r="1149">
      <c r="A1149" s="35"/>
      <c r="C1149" s="37"/>
      <c r="D1149" s="35"/>
      <c r="E1149" s="35"/>
    </row>
    <row r="1150">
      <c r="A1150" s="35"/>
      <c r="C1150" s="37"/>
      <c r="D1150" s="35"/>
      <c r="E1150" s="35"/>
    </row>
    <row r="1151">
      <c r="A1151" s="35"/>
      <c r="C1151" s="37"/>
      <c r="D1151" s="35"/>
      <c r="E1151" s="35"/>
    </row>
    <row r="1152">
      <c r="A1152" s="35"/>
      <c r="C1152" s="37"/>
      <c r="D1152" s="35"/>
      <c r="E1152" s="35"/>
    </row>
    <row r="1153">
      <c r="A1153" s="35"/>
      <c r="C1153" s="37"/>
      <c r="D1153" s="35"/>
      <c r="E1153" s="35"/>
    </row>
    <row r="1154">
      <c r="A1154" s="35"/>
      <c r="C1154" s="37"/>
      <c r="D1154" s="35"/>
      <c r="E1154" s="35"/>
    </row>
    <row r="1155">
      <c r="A1155" s="35"/>
      <c r="C1155" s="37"/>
      <c r="D1155" s="35"/>
      <c r="E1155" s="35"/>
    </row>
    <row r="1156">
      <c r="A1156" s="35"/>
      <c r="C1156" s="37"/>
      <c r="D1156" s="35"/>
      <c r="E1156" s="35"/>
    </row>
    <row r="1157">
      <c r="A1157" s="35"/>
      <c r="C1157" s="37"/>
      <c r="D1157" s="35"/>
      <c r="E1157" s="35"/>
    </row>
    <row r="1158">
      <c r="A1158" s="35"/>
      <c r="C1158" s="37"/>
      <c r="D1158" s="35"/>
      <c r="E1158" s="35"/>
    </row>
    <row r="1159">
      <c r="A1159" s="35"/>
      <c r="C1159" s="37"/>
      <c r="D1159" s="35"/>
      <c r="E1159" s="35"/>
    </row>
    <row r="1160">
      <c r="A1160" s="35"/>
      <c r="C1160" s="37"/>
      <c r="D1160" s="35"/>
      <c r="E1160" s="35"/>
    </row>
    <row r="1161">
      <c r="A1161" s="35"/>
      <c r="C1161" s="37"/>
      <c r="D1161" s="35"/>
      <c r="E1161" s="35"/>
    </row>
    <row r="1162">
      <c r="A1162" s="35"/>
      <c r="C1162" s="37"/>
      <c r="D1162" s="35"/>
      <c r="E1162" s="35"/>
    </row>
    <row r="1163">
      <c r="A1163" s="35"/>
      <c r="C1163" s="37"/>
      <c r="D1163" s="35"/>
      <c r="E1163" s="35"/>
    </row>
    <row r="1164">
      <c r="A1164" s="35"/>
      <c r="C1164" s="37"/>
      <c r="D1164" s="35"/>
      <c r="E1164" s="35"/>
    </row>
    <row r="1165">
      <c r="A1165" s="35"/>
      <c r="C1165" s="37"/>
      <c r="D1165" s="35"/>
      <c r="E1165" s="35"/>
    </row>
    <row r="1166">
      <c r="A1166" s="35"/>
      <c r="C1166" s="37"/>
      <c r="D1166" s="35"/>
      <c r="E1166" s="35"/>
    </row>
    <row r="1167">
      <c r="A1167" s="35"/>
      <c r="C1167" s="37"/>
      <c r="D1167" s="35"/>
      <c r="E1167" s="35"/>
    </row>
    <row r="1168">
      <c r="A1168" s="35"/>
      <c r="C1168" s="37"/>
      <c r="D1168" s="35"/>
      <c r="E1168" s="35"/>
    </row>
    <row r="1169">
      <c r="A1169" s="35"/>
      <c r="C1169" s="37"/>
      <c r="D1169" s="35"/>
      <c r="E1169" s="35"/>
    </row>
    <row r="1170">
      <c r="A1170" s="35"/>
      <c r="C1170" s="37"/>
      <c r="D1170" s="35"/>
      <c r="E1170" s="35"/>
    </row>
    <row r="1171">
      <c r="A1171" s="35"/>
      <c r="C1171" s="37"/>
      <c r="D1171" s="35"/>
      <c r="E1171" s="35"/>
    </row>
    <row r="1172">
      <c r="A1172" s="35"/>
      <c r="C1172" s="37"/>
      <c r="D1172" s="35"/>
      <c r="E1172" s="35"/>
    </row>
    <row r="1173">
      <c r="A1173" s="35"/>
      <c r="C1173" s="37"/>
      <c r="D1173" s="35"/>
      <c r="E1173" s="35"/>
    </row>
    <row r="1174">
      <c r="A1174" s="35"/>
      <c r="C1174" s="37"/>
      <c r="D1174" s="35"/>
      <c r="E1174" s="35"/>
    </row>
    <row r="1175">
      <c r="A1175" s="35"/>
      <c r="C1175" s="37"/>
      <c r="D1175" s="35"/>
      <c r="E1175" s="35"/>
    </row>
    <row r="1176">
      <c r="A1176" s="35"/>
      <c r="C1176" s="37"/>
      <c r="D1176" s="35"/>
      <c r="E1176" s="35"/>
    </row>
    <row r="1177">
      <c r="A1177" s="35"/>
      <c r="C1177" s="37"/>
      <c r="D1177" s="35"/>
      <c r="E1177" s="35"/>
    </row>
    <row r="1178">
      <c r="A1178" s="35"/>
      <c r="C1178" s="37"/>
      <c r="D1178" s="35"/>
      <c r="E1178" s="35"/>
    </row>
    <row r="1179">
      <c r="A1179" s="35"/>
      <c r="C1179" s="37"/>
      <c r="D1179" s="35"/>
      <c r="E1179" s="35"/>
    </row>
    <row r="1180">
      <c r="A1180" s="35"/>
      <c r="C1180" s="37"/>
      <c r="D1180" s="35"/>
      <c r="E1180" s="35"/>
    </row>
    <row r="1181">
      <c r="A1181" s="35"/>
      <c r="C1181" s="37"/>
      <c r="D1181" s="35"/>
      <c r="E1181" s="35"/>
    </row>
    <row r="1182">
      <c r="A1182" s="35"/>
      <c r="C1182" s="37"/>
      <c r="D1182" s="35"/>
      <c r="E1182" s="35"/>
    </row>
    <row r="1183">
      <c r="A1183" s="35"/>
      <c r="C1183" s="37"/>
      <c r="D1183" s="35"/>
      <c r="E1183" s="35"/>
    </row>
    <row r="1184">
      <c r="A1184" s="35"/>
      <c r="C1184" s="37"/>
      <c r="D1184" s="35"/>
      <c r="E1184" s="35"/>
    </row>
    <row r="1185">
      <c r="A1185" s="35"/>
      <c r="C1185" s="37"/>
      <c r="D1185" s="35"/>
      <c r="E1185" s="35"/>
    </row>
    <row r="1186">
      <c r="A1186" s="35"/>
      <c r="C1186" s="37"/>
      <c r="D1186" s="35"/>
      <c r="E1186" s="35"/>
    </row>
    <row r="1187">
      <c r="A1187" s="35"/>
      <c r="C1187" s="37"/>
      <c r="D1187" s="35"/>
      <c r="E1187" s="35"/>
    </row>
    <row r="1188">
      <c r="A1188" s="35"/>
      <c r="C1188" s="37"/>
      <c r="D1188" s="35"/>
      <c r="E1188" s="35"/>
    </row>
    <row r="1189">
      <c r="A1189" s="35"/>
      <c r="C1189" s="37"/>
      <c r="D1189" s="35"/>
      <c r="E1189" s="35"/>
    </row>
  </sheetData>
  <mergeCells count="1">
    <mergeCell ref="A260:E26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8.5"/>
    <col customWidth="1" min="3" max="3" width="22.63"/>
    <col customWidth="1" min="4" max="4" width="21.13"/>
    <col customWidth="1" min="5" max="5" width="23.5"/>
    <col customWidth="1" min="6" max="6" width="20.75"/>
    <col customWidth="1" min="7" max="7" width="16.13"/>
    <col customWidth="1" min="8" max="8" width="17.0"/>
    <col customWidth="1" min="9" max="9" width="16.0"/>
    <col customWidth="1" min="10" max="10" width="15.38"/>
    <col customWidth="1" min="11" max="1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78"/>
      <c r="B2" s="4"/>
      <c r="C2" s="5"/>
      <c r="D2" s="79"/>
      <c r="E2" s="5" t="str">
        <f t="shared" ref="E2:E8" si="1">ifs(D2=21%,(C2/100*21),D2=12%,(C2/100*12),D2="Režim",0,D2="Zaloha",0)+C2</f>
        <v>#N/A</v>
      </c>
      <c r="F2" s="5">
        <f>C2-(SUM(C3:C8))</f>
        <v>0</v>
      </c>
      <c r="G2" s="4"/>
      <c r="H2" s="8"/>
      <c r="I2" s="8"/>
      <c r="J2" s="6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/>
      <c r="B3" s="10"/>
      <c r="C3" s="11"/>
      <c r="D3" s="16"/>
      <c r="E3" s="11" t="str">
        <f t="shared" si="1"/>
        <v>#N/A</v>
      </c>
      <c r="F3" s="11"/>
      <c r="G3" s="80"/>
      <c r="H3" s="80"/>
      <c r="I3" s="80"/>
      <c r="J3" s="1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1"/>
      <c r="D4" s="16"/>
      <c r="E4" s="11" t="str">
        <f t="shared" si="1"/>
        <v>#N/A</v>
      </c>
      <c r="F4" s="11"/>
      <c r="G4" s="17"/>
      <c r="H4" s="18"/>
      <c r="I4" s="18"/>
      <c r="J4" s="1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/>
      <c r="B5" s="10"/>
      <c r="C5" s="11"/>
      <c r="D5" s="16"/>
      <c r="E5" s="11" t="str">
        <f t="shared" si="1"/>
        <v>#N/A</v>
      </c>
      <c r="F5" s="11"/>
      <c r="G5" s="17"/>
      <c r="H5" s="18"/>
      <c r="I5" s="18"/>
      <c r="J5" s="1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"/>
      <c r="B6" s="10"/>
      <c r="C6" s="11"/>
      <c r="D6" s="16"/>
      <c r="E6" s="11" t="str">
        <f t="shared" si="1"/>
        <v>#N/A</v>
      </c>
      <c r="F6" s="11"/>
      <c r="G6" s="17"/>
      <c r="H6" s="18"/>
      <c r="I6" s="18"/>
      <c r="J6" s="1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/>
      <c r="B7" s="10"/>
      <c r="C7" s="11"/>
      <c r="D7" s="16"/>
      <c r="E7" s="11" t="str">
        <f t="shared" si="1"/>
        <v>#N/A</v>
      </c>
      <c r="F7" s="11"/>
      <c r="G7" s="17"/>
      <c r="H7" s="18"/>
      <c r="I7" s="18"/>
      <c r="J7" s="15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/>
      <c r="B8" s="10"/>
      <c r="C8" s="11"/>
      <c r="D8" s="16"/>
      <c r="E8" s="11" t="str">
        <f t="shared" si="1"/>
        <v>#N/A</v>
      </c>
      <c r="F8" s="11"/>
      <c r="G8" s="17"/>
      <c r="H8" s="18"/>
      <c r="I8" s="18"/>
      <c r="J8" s="15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9"/>
      <c r="B9" s="19"/>
      <c r="C9" s="19"/>
      <c r="D9" s="19"/>
      <c r="E9" s="19"/>
      <c r="F9" s="19"/>
      <c r="G9" s="1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9"/>
      <c r="B10" s="19"/>
      <c r="C10" s="19"/>
      <c r="D10" s="19"/>
      <c r="E10" s="19"/>
      <c r="F10" s="19"/>
      <c r="G10" s="1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0" t="s">
        <v>14</v>
      </c>
      <c r="B11" s="20" t="s">
        <v>15</v>
      </c>
      <c r="C11" s="20" t="s">
        <v>16</v>
      </c>
      <c r="D11" s="20" t="s">
        <v>17</v>
      </c>
      <c r="E11" s="20" t="s">
        <v>245</v>
      </c>
      <c r="F11" s="20" t="s">
        <v>246</v>
      </c>
      <c r="G11" s="20" t="s">
        <v>17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1"/>
      <c r="B12" s="21">
        <f>SUM(B13:B14)</f>
        <v>0</v>
      </c>
      <c r="C12" s="22"/>
      <c r="D12" s="22">
        <f>B12-C12</f>
        <v>0</v>
      </c>
      <c r="E12" s="23">
        <v>168025.0</v>
      </c>
      <c r="F12" s="23">
        <v>0.0</v>
      </c>
      <c r="G12" s="24">
        <f>E12-F12</f>
        <v>168025</v>
      </c>
    </row>
    <row r="13">
      <c r="B13" s="81"/>
      <c r="C13" s="82"/>
      <c r="D13" s="83"/>
      <c r="E13" s="84" t="s">
        <v>247</v>
      </c>
      <c r="F13" s="84"/>
      <c r="G13" s="85" t="s">
        <v>248</v>
      </c>
      <c r="H13" s="86"/>
    </row>
    <row r="14">
      <c r="B14" s="81"/>
      <c r="C14" s="82"/>
      <c r="D14" s="83"/>
      <c r="E14" s="84">
        <v>661.0</v>
      </c>
      <c r="F14" s="84"/>
      <c r="G14" s="84">
        <f>SUM(I15:I18)</f>
        <v>220</v>
      </c>
    </row>
    <row r="15">
      <c r="A15" s="26" t="s">
        <v>21</v>
      </c>
      <c r="B15" s="26" t="s">
        <v>22</v>
      </c>
      <c r="C15" s="26" t="s">
        <v>23</v>
      </c>
      <c r="D15" s="26" t="s">
        <v>24</v>
      </c>
      <c r="E15" s="26" t="s">
        <v>25</v>
      </c>
      <c r="F15" s="26" t="s">
        <v>26</v>
      </c>
      <c r="H15" s="87" t="s">
        <v>249</v>
      </c>
      <c r="I15" s="44">
        <v>30.0</v>
      </c>
      <c r="J15" s="44">
        <v>250.0</v>
      </c>
      <c r="K15" s="45">
        <f t="shared" ref="K15:K18" si="2">J15*I15</f>
        <v>7500</v>
      </c>
    </row>
    <row r="16">
      <c r="A16" s="27">
        <v>46052.0</v>
      </c>
      <c r="B16" s="23" t="s">
        <v>250</v>
      </c>
      <c r="C16" s="88" t="s">
        <v>251</v>
      </c>
      <c r="D16" s="23">
        <v>1.0</v>
      </c>
      <c r="E16" s="23">
        <v>1932.12</v>
      </c>
      <c r="F16" s="24">
        <f t="shared" ref="F16:F57" si="3">E16*D16</f>
        <v>1932.12</v>
      </c>
      <c r="H16" s="87" t="s">
        <v>252</v>
      </c>
      <c r="I16" s="44">
        <v>30.0</v>
      </c>
      <c r="J16" s="44">
        <v>300.0</v>
      </c>
      <c r="K16" s="45">
        <f t="shared" si="2"/>
        <v>9000</v>
      </c>
    </row>
    <row r="17">
      <c r="A17" s="23" t="s">
        <v>253</v>
      </c>
      <c r="B17" s="23" t="s">
        <v>254</v>
      </c>
      <c r="C17" s="89" t="s">
        <v>255</v>
      </c>
      <c r="D17" s="90">
        <v>1.0</v>
      </c>
      <c r="E17" s="23">
        <v>2603.07</v>
      </c>
      <c r="F17" s="24">
        <f t="shared" si="3"/>
        <v>2603.07</v>
      </c>
      <c r="H17" s="87" t="s">
        <v>249</v>
      </c>
      <c r="I17" s="44">
        <v>80.0</v>
      </c>
      <c r="J17" s="44">
        <v>250.0</v>
      </c>
      <c r="K17" s="45">
        <f t="shared" si="2"/>
        <v>20000</v>
      </c>
    </row>
    <row r="18">
      <c r="A18" s="27">
        <v>46046.0</v>
      </c>
      <c r="B18" s="23" t="s">
        <v>256</v>
      </c>
      <c r="C18" s="88" t="s">
        <v>257</v>
      </c>
      <c r="D18" s="23">
        <v>1.0</v>
      </c>
      <c r="E18" s="23">
        <v>1620.67</v>
      </c>
      <c r="F18" s="24">
        <f t="shared" si="3"/>
        <v>1620.67</v>
      </c>
      <c r="H18" s="87" t="s">
        <v>252</v>
      </c>
      <c r="I18" s="44">
        <v>80.0</v>
      </c>
      <c r="J18" s="44">
        <v>300.0</v>
      </c>
      <c r="K18" s="45">
        <f t="shared" si="2"/>
        <v>24000</v>
      </c>
    </row>
    <row r="19">
      <c r="A19" s="91">
        <v>46057.0</v>
      </c>
      <c r="B19" s="23" t="s">
        <v>256</v>
      </c>
      <c r="C19" s="92" t="s">
        <v>258</v>
      </c>
      <c r="D19" s="23">
        <v>1.0</v>
      </c>
      <c r="E19" s="23">
        <v>2824.8</v>
      </c>
      <c r="F19" s="24">
        <f t="shared" si="3"/>
        <v>2824.8</v>
      </c>
    </row>
    <row r="20">
      <c r="A20" s="91">
        <v>46056.0</v>
      </c>
      <c r="B20" s="23" t="s">
        <v>259</v>
      </c>
      <c r="C20" s="92" t="s">
        <v>260</v>
      </c>
      <c r="D20" s="23">
        <v>1.0</v>
      </c>
      <c r="E20" s="23">
        <v>919.01</v>
      </c>
      <c r="F20" s="24">
        <f t="shared" si="3"/>
        <v>919.01</v>
      </c>
    </row>
    <row r="21">
      <c r="A21" s="91">
        <v>46055.0</v>
      </c>
      <c r="B21" s="23" t="s">
        <v>261</v>
      </c>
      <c r="C21" s="93" t="s">
        <v>262</v>
      </c>
      <c r="D21" s="23">
        <v>1.0</v>
      </c>
      <c r="E21" s="23">
        <v>659.7</v>
      </c>
      <c r="F21" s="24">
        <f t="shared" si="3"/>
        <v>659.7</v>
      </c>
    </row>
    <row r="22">
      <c r="A22" s="91">
        <v>46060.0</v>
      </c>
      <c r="B22" s="23" t="s">
        <v>254</v>
      </c>
      <c r="C22" s="93" t="s">
        <v>263</v>
      </c>
      <c r="D22" s="23">
        <v>1.0</v>
      </c>
      <c r="E22" s="23">
        <v>720.83</v>
      </c>
      <c r="F22" s="24">
        <f t="shared" si="3"/>
        <v>720.83</v>
      </c>
    </row>
    <row r="23">
      <c r="A23" s="91">
        <v>46060.0</v>
      </c>
      <c r="B23" s="23" t="s">
        <v>254</v>
      </c>
      <c r="C23" s="92" t="s">
        <v>264</v>
      </c>
      <c r="D23" s="23">
        <v>1.0</v>
      </c>
      <c r="E23" s="23">
        <v>415.8</v>
      </c>
      <c r="F23" s="24">
        <f t="shared" si="3"/>
        <v>415.8</v>
      </c>
    </row>
    <row r="24">
      <c r="A24" s="91">
        <v>46059.0</v>
      </c>
      <c r="B24" s="23" t="s">
        <v>265</v>
      </c>
      <c r="C24" s="92" t="s">
        <v>266</v>
      </c>
      <c r="D24" s="23">
        <v>1.0</v>
      </c>
      <c r="E24" s="23">
        <v>1927.76</v>
      </c>
      <c r="F24" s="24">
        <f t="shared" si="3"/>
        <v>1927.76</v>
      </c>
    </row>
    <row r="25">
      <c r="A25" s="91">
        <v>46062.0</v>
      </c>
      <c r="B25" s="23" t="s">
        <v>256</v>
      </c>
      <c r="C25" s="93" t="s">
        <v>267</v>
      </c>
      <c r="D25" s="23">
        <v>1.0</v>
      </c>
      <c r="E25" s="23">
        <v>595.31</v>
      </c>
      <c r="F25" s="24">
        <f t="shared" si="3"/>
        <v>595.31</v>
      </c>
    </row>
    <row r="26">
      <c r="A26" s="91">
        <v>46063.0</v>
      </c>
      <c r="B26" s="23" t="s">
        <v>256</v>
      </c>
      <c r="C26" s="92" t="s">
        <v>268</v>
      </c>
      <c r="D26" s="23">
        <v>1.0</v>
      </c>
      <c r="E26" s="23">
        <v>1384.75</v>
      </c>
      <c r="F26" s="24">
        <f t="shared" si="3"/>
        <v>1384.75</v>
      </c>
    </row>
    <row r="27">
      <c r="A27" s="91">
        <v>46064.0</v>
      </c>
      <c r="B27" s="23" t="s">
        <v>265</v>
      </c>
      <c r="C27" s="92" t="s">
        <v>269</v>
      </c>
      <c r="D27" s="23">
        <v>1.0</v>
      </c>
      <c r="E27" s="23">
        <v>811.74</v>
      </c>
      <c r="F27" s="24">
        <f t="shared" si="3"/>
        <v>811.74</v>
      </c>
    </row>
    <row r="28">
      <c r="A28" s="91">
        <v>46064.0</v>
      </c>
      <c r="B28" s="23" t="s">
        <v>256</v>
      </c>
      <c r="C28" s="92" t="s">
        <v>270</v>
      </c>
      <c r="D28" s="23">
        <v>1.0</v>
      </c>
      <c r="E28" s="23">
        <v>3130.2</v>
      </c>
      <c r="F28" s="24">
        <f t="shared" si="3"/>
        <v>3130.2</v>
      </c>
    </row>
    <row r="29">
      <c r="A29" s="91">
        <v>46066.0</v>
      </c>
      <c r="B29" s="23" t="s">
        <v>271</v>
      </c>
      <c r="C29" s="92" t="s">
        <v>272</v>
      </c>
      <c r="D29" s="23">
        <v>1.0</v>
      </c>
      <c r="E29" s="23">
        <v>2686.2</v>
      </c>
      <c r="F29" s="24">
        <f t="shared" si="3"/>
        <v>2686.2</v>
      </c>
    </row>
    <row r="30">
      <c r="A30" s="28" t="s">
        <v>273</v>
      </c>
      <c r="B30" s="23" t="s">
        <v>250</v>
      </c>
      <c r="C30" s="92" t="s">
        <v>274</v>
      </c>
      <c r="D30" s="23">
        <v>1.0</v>
      </c>
      <c r="E30" s="23">
        <v>1317.72</v>
      </c>
      <c r="F30" s="24">
        <f t="shared" si="3"/>
        <v>1317.72</v>
      </c>
    </row>
    <row r="31">
      <c r="A31" s="91">
        <v>46072.0</v>
      </c>
      <c r="B31" s="23" t="s">
        <v>256</v>
      </c>
      <c r="C31" s="94" t="s">
        <v>275</v>
      </c>
      <c r="D31" s="23">
        <v>1.0</v>
      </c>
      <c r="E31" s="23">
        <v>1469.62</v>
      </c>
      <c r="F31" s="24">
        <f t="shared" si="3"/>
        <v>1469.62</v>
      </c>
    </row>
    <row r="32">
      <c r="A32" s="91">
        <v>46077.0</v>
      </c>
      <c r="B32" s="23" t="s">
        <v>256</v>
      </c>
      <c r="C32" s="93" t="s">
        <v>276</v>
      </c>
      <c r="D32" s="23">
        <v>1.0</v>
      </c>
      <c r="E32" s="23">
        <v>1150.4</v>
      </c>
      <c r="F32" s="24">
        <f t="shared" si="3"/>
        <v>1150.4</v>
      </c>
    </row>
    <row r="33">
      <c r="A33" s="91">
        <v>46136.0</v>
      </c>
      <c r="B33" s="23" t="s">
        <v>256</v>
      </c>
      <c r="C33" s="92" t="s">
        <v>277</v>
      </c>
      <c r="D33" s="23">
        <v>1.0</v>
      </c>
      <c r="E33" s="23">
        <v>1150.41</v>
      </c>
      <c r="F33" s="24">
        <f t="shared" si="3"/>
        <v>1150.41</v>
      </c>
    </row>
    <row r="34">
      <c r="A34" s="91">
        <v>46077.0</v>
      </c>
      <c r="B34" s="23" t="s">
        <v>256</v>
      </c>
      <c r="C34" s="93" t="s">
        <v>277</v>
      </c>
      <c r="D34" s="23">
        <v>1.0</v>
      </c>
      <c r="E34" s="23">
        <v>3961.91</v>
      </c>
      <c r="F34" s="24">
        <f t="shared" si="3"/>
        <v>3961.91</v>
      </c>
    </row>
    <row r="35">
      <c r="A35" s="91">
        <v>46076.0</v>
      </c>
      <c r="B35" s="23" t="s">
        <v>256</v>
      </c>
      <c r="C35" s="92" t="s">
        <v>278</v>
      </c>
      <c r="D35" s="23">
        <v>1.0</v>
      </c>
      <c r="E35" s="23">
        <v>49.22</v>
      </c>
      <c r="F35" s="24">
        <f t="shared" si="3"/>
        <v>49.22</v>
      </c>
    </row>
    <row r="36">
      <c r="A36" s="91">
        <v>46076.0</v>
      </c>
      <c r="B36" s="23" t="s">
        <v>256</v>
      </c>
      <c r="C36" s="92" t="s">
        <v>279</v>
      </c>
      <c r="D36" s="23">
        <v>1.0</v>
      </c>
      <c r="E36" s="23">
        <v>2864.27</v>
      </c>
      <c r="F36" s="24">
        <f t="shared" si="3"/>
        <v>2864.27</v>
      </c>
    </row>
    <row r="37">
      <c r="A37" s="91">
        <v>46060.0</v>
      </c>
      <c r="B37" s="23" t="s">
        <v>256</v>
      </c>
      <c r="C37" s="93" t="s">
        <v>280</v>
      </c>
      <c r="D37" s="23">
        <v>1.0</v>
      </c>
      <c r="E37" s="23">
        <v>254.55</v>
      </c>
      <c r="F37" s="24">
        <f t="shared" si="3"/>
        <v>254.55</v>
      </c>
    </row>
    <row r="38">
      <c r="A38" s="91">
        <v>46072.0</v>
      </c>
      <c r="B38" s="23" t="s">
        <v>256</v>
      </c>
      <c r="C38" s="92" t="s">
        <v>281</v>
      </c>
      <c r="D38" s="23">
        <v>1.0</v>
      </c>
      <c r="E38" s="23">
        <v>491.76</v>
      </c>
      <c r="F38" s="24">
        <f t="shared" si="3"/>
        <v>491.76</v>
      </c>
    </row>
    <row r="39">
      <c r="A39" s="91">
        <v>46073.0</v>
      </c>
      <c r="B39" s="23" t="s">
        <v>256</v>
      </c>
      <c r="C39" s="92" t="s">
        <v>282</v>
      </c>
      <c r="D39" s="23">
        <v>1.0</v>
      </c>
      <c r="E39" s="23">
        <v>207.42</v>
      </c>
      <c r="F39" s="24">
        <f t="shared" si="3"/>
        <v>207.42</v>
      </c>
    </row>
    <row r="40">
      <c r="A40" s="91">
        <v>46065.0</v>
      </c>
      <c r="B40" s="23" t="s">
        <v>256</v>
      </c>
      <c r="C40" s="92" t="s">
        <v>283</v>
      </c>
      <c r="D40" s="23">
        <v>1.0</v>
      </c>
      <c r="E40" s="23">
        <v>2530.83</v>
      </c>
      <c r="F40" s="24">
        <f t="shared" si="3"/>
        <v>2530.83</v>
      </c>
    </row>
    <row r="41">
      <c r="A41" s="91">
        <v>46065.0</v>
      </c>
      <c r="B41" s="23" t="s">
        <v>256</v>
      </c>
      <c r="C41" s="92" t="s">
        <v>284</v>
      </c>
      <c r="D41" s="23">
        <v>1.0</v>
      </c>
      <c r="E41" s="23">
        <v>638.56</v>
      </c>
      <c r="F41" s="24">
        <f t="shared" si="3"/>
        <v>638.56</v>
      </c>
    </row>
    <row r="42">
      <c r="A42" s="91">
        <v>46065.0</v>
      </c>
      <c r="B42" s="23" t="s">
        <v>285</v>
      </c>
      <c r="C42" s="92" t="s">
        <v>286</v>
      </c>
      <c r="D42" s="23">
        <v>1.0</v>
      </c>
      <c r="E42" s="23">
        <v>298.35</v>
      </c>
      <c r="F42" s="24">
        <f t="shared" si="3"/>
        <v>298.35</v>
      </c>
    </row>
    <row r="43">
      <c r="A43" s="91">
        <v>46078.0</v>
      </c>
      <c r="B43" s="23" t="s">
        <v>287</v>
      </c>
      <c r="C43" s="92" t="s">
        <v>288</v>
      </c>
      <c r="D43" s="23">
        <v>1.0</v>
      </c>
      <c r="E43" s="23">
        <v>97.52</v>
      </c>
      <c r="F43" s="24">
        <f t="shared" si="3"/>
        <v>97.52</v>
      </c>
    </row>
    <row r="44">
      <c r="A44" s="91">
        <v>46059.0</v>
      </c>
      <c r="B44" s="23" t="s">
        <v>256</v>
      </c>
      <c r="C44" s="92" t="s">
        <v>289</v>
      </c>
      <c r="D44" s="23">
        <v>1.0</v>
      </c>
      <c r="E44" s="23">
        <v>69787.58</v>
      </c>
      <c r="F44" s="24">
        <f t="shared" si="3"/>
        <v>69787.58</v>
      </c>
    </row>
    <row r="45">
      <c r="A45" s="91">
        <v>46066.0</v>
      </c>
      <c r="B45" s="23" t="s">
        <v>290</v>
      </c>
      <c r="C45" s="92" t="s">
        <v>291</v>
      </c>
      <c r="D45" s="23">
        <v>1.0</v>
      </c>
      <c r="E45" s="23">
        <v>12890.0</v>
      </c>
      <c r="F45" s="24">
        <f t="shared" si="3"/>
        <v>12890</v>
      </c>
    </row>
    <row r="46">
      <c r="A46" s="91">
        <v>46078.0</v>
      </c>
      <c r="B46" s="23" t="s">
        <v>292</v>
      </c>
      <c r="C46" s="92" t="s">
        <v>293</v>
      </c>
      <c r="D46" s="23">
        <v>1.0</v>
      </c>
      <c r="E46" s="23">
        <v>12889.26</v>
      </c>
      <c r="F46" s="24">
        <f t="shared" si="3"/>
        <v>12889.26</v>
      </c>
    </row>
    <row r="47">
      <c r="A47" s="91">
        <v>46081.0</v>
      </c>
      <c r="B47" s="23" t="s">
        <v>254</v>
      </c>
      <c r="C47" s="93" t="s">
        <v>294</v>
      </c>
      <c r="D47" s="23">
        <v>1.0</v>
      </c>
      <c r="E47" s="23">
        <v>660.21</v>
      </c>
      <c r="F47" s="24">
        <f t="shared" si="3"/>
        <v>660.21</v>
      </c>
    </row>
    <row r="48">
      <c r="A48" s="91">
        <v>46077.0</v>
      </c>
      <c r="B48" s="23" t="s">
        <v>254</v>
      </c>
      <c r="C48" s="93" t="s">
        <v>295</v>
      </c>
      <c r="D48" s="23">
        <v>1.0</v>
      </c>
      <c r="E48" s="23">
        <v>1471.35</v>
      </c>
      <c r="F48" s="24">
        <f t="shared" si="3"/>
        <v>1471.35</v>
      </c>
    </row>
    <row r="49">
      <c r="A49" s="91">
        <v>46083.0</v>
      </c>
      <c r="B49" s="23" t="s">
        <v>296</v>
      </c>
      <c r="C49" s="92" t="s">
        <v>297</v>
      </c>
      <c r="D49" s="23">
        <v>1.0</v>
      </c>
      <c r="E49" s="23">
        <v>552.07</v>
      </c>
      <c r="F49" s="24">
        <f t="shared" si="3"/>
        <v>552.07</v>
      </c>
    </row>
    <row r="50" ht="19.5" customHeight="1">
      <c r="A50" s="95">
        <v>46065.0</v>
      </c>
      <c r="B50" s="66" t="s">
        <v>256</v>
      </c>
      <c r="C50" s="96" t="s">
        <v>298</v>
      </c>
      <c r="D50" s="66">
        <v>1.0</v>
      </c>
      <c r="E50" s="66">
        <v>33699.16</v>
      </c>
      <c r="F50" s="24">
        <f t="shared" si="3"/>
        <v>33699.16</v>
      </c>
      <c r="G50" s="97"/>
      <c r="H50" s="74"/>
    </row>
    <row r="51">
      <c r="A51" s="91">
        <v>46064.0</v>
      </c>
      <c r="B51" s="23" t="s">
        <v>256</v>
      </c>
      <c r="C51" s="93" t="s">
        <v>299</v>
      </c>
      <c r="D51" s="23">
        <v>1.0</v>
      </c>
      <c r="E51" s="23">
        <v>2220.0</v>
      </c>
      <c r="F51" s="24">
        <f t="shared" si="3"/>
        <v>2220</v>
      </c>
    </row>
    <row r="52">
      <c r="A52" s="91">
        <v>46064.0</v>
      </c>
      <c r="B52" s="23" t="s">
        <v>265</v>
      </c>
      <c r="C52" s="93" t="s">
        <v>300</v>
      </c>
      <c r="D52" s="23">
        <v>1.0</v>
      </c>
      <c r="E52" s="23">
        <v>811.74</v>
      </c>
      <c r="F52" s="24">
        <f t="shared" si="3"/>
        <v>811.74</v>
      </c>
    </row>
    <row r="53">
      <c r="A53" s="91">
        <v>46066.0</v>
      </c>
      <c r="B53" s="23" t="s">
        <v>256</v>
      </c>
      <c r="C53" s="93" t="s">
        <v>301</v>
      </c>
      <c r="D53" s="23">
        <v>1.0</v>
      </c>
      <c r="E53" s="23">
        <v>4138.3</v>
      </c>
      <c r="F53" s="24">
        <f t="shared" si="3"/>
        <v>4138.3</v>
      </c>
    </row>
    <row r="54">
      <c r="A54" s="91">
        <v>46067.0</v>
      </c>
      <c r="B54" s="23" t="s">
        <v>256</v>
      </c>
      <c r="C54" s="93" t="s">
        <v>302</v>
      </c>
      <c r="D54" s="23">
        <v>1.0</v>
      </c>
      <c r="E54" s="23">
        <v>1361.11</v>
      </c>
      <c r="F54" s="24">
        <f t="shared" si="3"/>
        <v>1361.11</v>
      </c>
    </row>
    <row r="55">
      <c r="A55" s="91">
        <v>46066.0</v>
      </c>
      <c r="B55" s="23" t="s">
        <v>256</v>
      </c>
      <c r="C55" s="93" t="s">
        <v>303</v>
      </c>
      <c r="D55" s="23">
        <v>1.0</v>
      </c>
      <c r="E55" s="23">
        <v>1735.76</v>
      </c>
      <c r="F55" s="24">
        <f t="shared" si="3"/>
        <v>1735.76</v>
      </c>
    </row>
    <row r="56">
      <c r="A56" s="91">
        <v>46069.0</v>
      </c>
      <c r="B56" s="23" t="s">
        <v>256</v>
      </c>
      <c r="C56" s="93" t="s">
        <v>304</v>
      </c>
      <c r="D56" s="23">
        <v>1.0</v>
      </c>
      <c r="E56" s="23">
        <v>1367.26</v>
      </c>
      <c r="F56" s="24">
        <f t="shared" si="3"/>
        <v>1367.26</v>
      </c>
    </row>
    <row r="57">
      <c r="A57" s="91">
        <v>46078.0</v>
      </c>
      <c r="B57" s="23" t="s">
        <v>256</v>
      </c>
      <c r="C57" s="93" t="s">
        <v>305</v>
      </c>
      <c r="D57" s="98">
        <v>1.0</v>
      </c>
      <c r="E57" s="98">
        <v>11126.72</v>
      </c>
      <c r="F57" s="99">
        <f t="shared" si="3"/>
        <v>11126.72</v>
      </c>
      <c r="G57" s="100" t="s">
        <v>306</v>
      </c>
    </row>
    <row r="58">
      <c r="A58" s="91">
        <v>46063.0</v>
      </c>
      <c r="B58" s="23" t="s">
        <v>256</v>
      </c>
      <c r="C58" s="93" t="s">
        <v>305</v>
      </c>
      <c r="D58" s="98">
        <v>1.0</v>
      </c>
      <c r="E58" s="98" t="s">
        <v>307</v>
      </c>
      <c r="F58" s="99"/>
      <c r="G58" s="101"/>
    </row>
    <row r="59">
      <c r="A59" s="91">
        <v>46078.0</v>
      </c>
      <c r="B59" s="23" t="s">
        <v>256</v>
      </c>
      <c r="C59" s="93" t="s">
        <v>308</v>
      </c>
      <c r="D59" s="23">
        <v>1.0</v>
      </c>
      <c r="E59" s="23">
        <v>3954.56</v>
      </c>
      <c r="F59" s="24">
        <f t="shared" ref="F59:F102" si="4">E59*D59</f>
        <v>3954.56</v>
      </c>
    </row>
    <row r="60">
      <c r="A60" s="91">
        <v>46071.0</v>
      </c>
      <c r="B60" s="23" t="s">
        <v>256</v>
      </c>
      <c r="C60" s="93" t="s">
        <v>309</v>
      </c>
      <c r="D60" s="23">
        <v>1.0</v>
      </c>
      <c r="E60" s="23">
        <v>2584.36</v>
      </c>
      <c r="F60" s="24">
        <f t="shared" si="4"/>
        <v>2584.36</v>
      </c>
    </row>
    <row r="61">
      <c r="A61" s="91">
        <v>46072.0</v>
      </c>
      <c r="B61" s="23" t="s">
        <v>265</v>
      </c>
      <c r="C61" s="93" t="s">
        <v>310</v>
      </c>
      <c r="D61" s="23">
        <v>1.0</v>
      </c>
      <c r="E61" s="23">
        <v>1469.62</v>
      </c>
      <c r="F61" s="24">
        <f t="shared" si="4"/>
        <v>1469.62</v>
      </c>
    </row>
    <row r="62">
      <c r="A62" s="91">
        <v>46069.0</v>
      </c>
      <c r="B62" s="23" t="s">
        <v>256</v>
      </c>
      <c r="C62" s="93" t="s">
        <v>311</v>
      </c>
      <c r="D62" s="23">
        <v>1.0</v>
      </c>
      <c r="E62" s="23">
        <v>1849.2</v>
      </c>
      <c r="F62" s="24">
        <f t="shared" si="4"/>
        <v>1849.2</v>
      </c>
    </row>
    <row r="63">
      <c r="A63" s="91">
        <v>46066.0</v>
      </c>
      <c r="B63" s="23" t="s">
        <v>254</v>
      </c>
      <c r="C63" s="93" t="s">
        <v>312</v>
      </c>
      <c r="D63" s="23">
        <v>1.0</v>
      </c>
      <c r="E63" s="23">
        <v>628.5</v>
      </c>
      <c r="F63" s="24">
        <f t="shared" si="4"/>
        <v>628.5</v>
      </c>
    </row>
    <row r="64">
      <c r="A64" s="91">
        <v>46067.0</v>
      </c>
      <c r="B64" s="23" t="s">
        <v>259</v>
      </c>
      <c r="C64" s="93" t="s">
        <v>313</v>
      </c>
      <c r="D64" s="23">
        <v>1.0</v>
      </c>
      <c r="E64" s="23">
        <v>906.61</v>
      </c>
      <c r="F64" s="24">
        <f t="shared" si="4"/>
        <v>906.61</v>
      </c>
    </row>
    <row r="65">
      <c r="A65" s="91">
        <v>46063.0</v>
      </c>
      <c r="B65" s="23" t="s">
        <v>256</v>
      </c>
      <c r="C65" s="93" t="s">
        <v>314</v>
      </c>
      <c r="D65" s="23">
        <v>1.0</v>
      </c>
      <c r="E65" s="23">
        <v>1384.75</v>
      </c>
      <c r="F65" s="24">
        <f t="shared" si="4"/>
        <v>1384.75</v>
      </c>
    </row>
    <row r="66">
      <c r="A66" s="91">
        <v>46070.0</v>
      </c>
      <c r="B66" s="23" t="s">
        <v>256</v>
      </c>
      <c r="C66" s="93" t="s">
        <v>315</v>
      </c>
      <c r="D66" s="23">
        <v>1.0</v>
      </c>
      <c r="E66" s="23">
        <v>1217.44</v>
      </c>
      <c r="F66" s="24">
        <f t="shared" si="4"/>
        <v>1217.44</v>
      </c>
    </row>
    <row r="67">
      <c r="A67" s="91">
        <v>46072.0</v>
      </c>
      <c r="B67" s="23" t="s">
        <v>296</v>
      </c>
      <c r="C67" s="93" t="s">
        <v>316</v>
      </c>
      <c r="D67" s="23">
        <v>1.0</v>
      </c>
      <c r="E67" s="23">
        <v>1777.68</v>
      </c>
      <c r="F67" s="24">
        <f t="shared" si="4"/>
        <v>1777.68</v>
      </c>
    </row>
    <row r="68">
      <c r="A68" s="91">
        <v>46081.0</v>
      </c>
      <c r="B68" s="23" t="s">
        <v>256</v>
      </c>
      <c r="C68" s="92" t="s">
        <v>317</v>
      </c>
      <c r="D68" s="23">
        <v>1.0</v>
      </c>
      <c r="E68" s="23" t="s">
        <v>307</v>
      </c>
      <c r="F68" s="24" t="str">
        <f t="shared" si="4"/>
        <v>#VALUE!</v>
      </c>
    </row>
    <row r="69">
      <c r="A69" s="91">
        <v>46077.0</v>
      </c>
      <c r="B69" s="23" t="s">
        <v>256</v>
      </c>
      <c r="C69" s="92" t="s">
        <v>318</v>
      </c>
      <c r="D69" s="23">
        <v>1.0</v>
      </c>
      <c r="E69" s="23" t="s">
        <v>307</v>
      </c>
      <c r="F69" s="24" t="str">
        <f t="shared" si="4"/>
        <v>#VALUE!</v>
      </c>
    </row>
    <row r="70">
      <c r="A70" s="91">
        <v>46078.0</v>
      </c>
      <c r="B70" s="23" t="s">
        <v>256</v>
      </c>
      <c r="C70" s="92" t="s">
        <v>319</v>
      </c>
      <c r="D70" s="23">
        <v>1.0</v>
      </c>
      <c r="E70" s="23" t="s">
        <v>307</v>
      </c>
      <c r="F70" s="24" t="str">
        <f t="shared" si="4"/>
        <v>#VALUE!</v>
      </c>
    </row>
    <row r="71">
      <c r="A71" s="91">
        <v>46078.0</v>
      </c>
      <c r="B71" s="23" t="s">
        <v>256</v>
      </c>
      <c r="C71" s="93" t="s">
        <v>320</v>
      </c>
      <c r="D71" s="23">
        <v>1.0</v>
      </c>
      <c r="E71" s="23" t="s">
        <v>307</v>
      </c>
      <c r="F71" s="24" t="str">
        <f t="shared" si="4"/>
        <v>#VALUE!</v>
      </c>
    </row>
    <row r="72">
      <c r="A72" s="91">
        <v>46081.0</v>
      </c>
      <c r="B72" s="23" t="s">
        <v>256</v>
      </c>
      <c r="C72" s="93" t="s">
        <v>321</v>
      </c>
      <c r="D72" s="23">
        <v>1.0</v>
      </c>
      <c r="E72" s="23" t="s">
        <v>307</v>
      </c>
      <c r="F72" s="24" t="str">
        <f t="shared" si="4"/>
        <v>#VALUE!</v>
      </c>
    </row>
    <row r="73">
      <c r="A73" s="91">
        <v>46085.0</v>
      </c>
      <c r="B73" s="23" t="s">
        <v>256</v>
      </c>
      <c r="C73" s="92" t="s">
        <v>322</v>
      </c>
      <c r="D73" s="23">
        <v>1.0</v>
      </c>
      <c r="E73" s="23" t="s">
        <v>307</v>
      </c>
      <c r="F73" s="24" t="str">
        <f t="shared" si="4"/>
        <v>#VALUE!</v>
      </c>
    </row>
    <row r="74">
      <c r="A74" s="29"/>
      <c r="B74" s="24"/>
      <c r="C74" s="102"/>
      <c r="D74" s="23">
        <v>1.0</v>
      </c>
      <c r="E74" s="24"/>
      <c r="F74" s="24">
        <f t="shared" si="4"/>
        <v>0</v>
      </c>
    </row>
    <row r="75">
      <c r="A75" s="29"/>
      <c r="B75" s="24"/>
      <c r="C75" s="102"/>
      <c r="D75" s="23">
        <v>1.0</v>
      </c>
      <c r="E75" s="24"/>
      <c r="F75" s="24">
        <f t="shared" si="4"/>
        <v>0</v>
      </c>
    </row>
    <row r="76">
      <c r="A76" s="29"/>
      <c r="B76" s="24"/>
      <c r="C76" s="102"/>
      <c r="D76" s="23">
        <v>1.0</v>
      </c>
      <c r="E76" s="24"/>
      <c r="F76" s="24">
        <f t="shared" si="4"/>
        <v>0</v>
      </c>
    </row>
    <row r="77">
      <c r="A77" s="29"/>
      <c r="B77" s="24"/>
      <c r="C77" s="102"/>
      <c r="D77" s="23">
        <v>1.0</v>
      </c>
      <c r="E77" s="24"/>
      <c r="F77" s="24">
        <f t="shared" si="4"/>
        <v>0</v>
      </c>
    </row>
    <row r="78">
      <c r="A78" s="29"/>
      <c r="B78" s="24"/>
      <c r="C78" s="102"/>
      <c r="D78" s="23">
        <v>1.0</v>
      </c>
      <c r="E78" s="24"/>
      <c r="F78" s="24">
        <f t="shared" si="4"/>
        <v>0</v>
      </c>
    </row>
    <row r="79">
      <c r="A79" s="29"/>
      <c r="B79" s="24"/>
      <c r="C79" s="102"/>
      <c r="D79" s="23">
        <v>1.0</v>
      </c>
      <c r="E79" s="24"/>
      <c r="F79" s="24">
        <f t="shared" si="4"/>
        <v>0</v>
      </c>
    </row>
    <row r="80">
      <c r="A80" s="29"/>
      <c r="B80" s="24"/>
      <c r="C80" s="102"/>
      <c r="D80" s="23">
        <v>1.0</v>
      </c>
      <c r="E80" s="24"/>
      <c r="F80" s="24">
        <f t="shared" si="4"/>
        <v>0</v>
      </c>
    </row>
    <row r="81">
      <c r="A81" s="29"/>
      <c r="B81" s="24"/>
      <c r="C81" s="102"/>
      <c r="D81" s="23">
        <v>1.0</v>
      </c>
      <c r="E81" s="24"/>
      <c r="F81" s="24">
        <f t="shared" si="4"/>
        <v>0</v>
      </c>
    </row>
    <row r="82">
      <c r="A82" s="29"/>
      <c r="B82" s="24"/>
      <c r="C82" s="102"/>
      <c r="D82" s="23">
        <v>1.0</v>
      </c>
      <c r="E82" s="24"/>
      <c r="F82" s="24">
        <f t="shared" si="4"/>
        <v>0</v>
      </c>
    </row>
    <row r="83">
      <c r="A83" s="29"/>
      <c r="B83" s="24"/>
      <c r="C83" s="102"/>
      <c r="D83" s="23">
        <v>1.0</v>
      </c>
      <c r="E83" s="24"/>
      <c r="F83" s="24">
        <f t="shared" si="4"/>
        <v>0</v>
      </c>
    </row>
    <row r="84">
      <c r="A84" s="29"/>
      <c r="B84" s="24"/>
      <c r="C84" s="102"/>
      <c r="D84" s="23">
        <v>1.0</v>
      </c>
      <c r="E84" s="24"/>
      <c r="F84" s="24">
        <f t="shared" si="4"/>
        <v>0</v>
      </c>
    </row>
    <row r="85">
      <c r="A85" s="29"/>
      <c r="B85" s="24"/>
      <c r="C85" s="102"/>
      <c r="D85" s="24"/>
      <c r="E85" s="24"/>
      <c r="F85" s="24">
        <f t="shared" si="4"/>
        <v>0</v>
      </c>
    </row>
    <row r="86">
      <c r="A86" s="29"/>
      <c r="B86" s="24"/>
      <c r="C86" s="102"/>
      <c r="D86" s="24"/>
      <c r="E86" s="24"/>
      <c r="F86" s="24">
        <f t="shared" si="4"/>
        <v>0</v>
      </c>
    </row>
    <row r="87">
      <c r="A87" s="29"/>
      <c r="B87" s="24"/>
      <c r="C87" s="102"/>
      <c r="D87" s="24"/>
      <c r="E87" s="24"/>
      <c r="F87" s="24">
        <f t="shared" si="4"/>
        <v>0</v>
      </c>
    </row>
    <row r="88">
      <c r="A88" s="29"/>
      <c r="B88" s="24"/>
      <c r="C88" s="102"/>
      <c r="D88" s="24"/>
      <c r="E88" s="24"/>
      <c r="F88" s="24">
        <f t="shared" si="4"/>
        <v>0</v>
      </c>
    </row>
    <row r="89">
      <c r="A89" s="29"/>
      <c r="B89" s="24"/>
      <c r="C89" s="102"/>
      <c r="D89" s="24"/>
      <c r="E89" s="24"/>
      <c r="F89" s="24">
        <f t="shared" si="4"/>
        <v>0</v>
      </c>
    </row>
    <row r="90">
      <c r="A90" s="29"/>
      <c r="B90" s="24"/>
      <c r="C90" s="102"/>
      <c r="D90" s="24"/>
      <c r="E90" s="24"/>
      <c r="F90" s="24">
        <f t="shared" si="4"/>
        <v>0</v>
      </c>
    </row>
    <row r="91">
      <c r="A91" s="29"/>
      <c r="B91" s="24"/>
      <c r="C91" s="102"/>
      <c r="D91" s="24"/>
      <c r="E91" s="24"/>
      <c r="F91" s="24">
        <f t="shared" si="4"/>
        <v>0</v>
      </c>
    </row>
    <row r="92">
      <c r="A92" s="29"/>
      <c r="B92" s="24"/>
      <c r="C92" s="102"/>
      <c r="D92" s="24"/>
      <c r="E92" s="24"/>
      <c r="F92" s="24">
        <f t="shared" si="4"/>
        <v>0</v>
      </c>
    </row>
    <row r="93">
      <c r="A93" s="29"/>
      <c r="B93" s="24"/>
      <c r="C93" s="102"/>
      <c r="D93" s="24"/>
      <c r="E93" s="24"/>
      <c r="F93" s="24">
        <f t="shared" si="4"/>
        <v>0</v>
      </c>
    </row>
    <row r="94">
      <c r="A94" s="29"/>
      <c r="B94" s="24"/>
      <c r="C94" s="102"/>
      <c r="D94" s="24"/>
      <c r="E94" s="24"/>
      <c r="F94" s="24">
        <f t="shared" si="4"/>
        <v>0</v>
      </c>
    </row>
    <row r="95">
      <c r="A95" s="29"/>
      <c r="B95" s="24"/>
      <c r="C95" s="102"/>
      <c r="D95" s="24"/>
      <c r="E95" s="24"/>
      <c r="F95" s="24">
        <f t="shared" si="4"/>
        <v>0</v>
      </c>
    </row>
    <row r="96">
      <c r="A96" s="29"/>
      <c r="B96" s="24"/>
      <c r="C96" s="102"/>
      <c r="D96" s="24"/>
      <c r="E96" s="24"/>
      <c r="F96" s="24">
        <f t="shared" si="4"/>
        <v>0</v>
      </c>
    </row>
    <row r="97">
      <c r="A97" s="29"/>
      <c r="B97" s="24"/>
      <c r="C97" s="102"/>
      <c r="D97" s="24"/>
      <c r="E97" s="24"/>
      <c r="F97" s="24">
        <f t="shared" si="4"/>
        <v>0</v>
      </c>
    </row>
    <row r="98">
      <c r="A98" s="29"/>
      <c r="B98" s="24"/>
      <c r="C98" s="102"/>
      <c r="D98" s="24"/>
      <c r="E98" s="24"/>
      <c r="F98" s="24">
        <f t="shared" si="4"/>
        <v>0</v>
      </c>
    </row>
    <row r="99">
      <c r="A99" s="29"/>
      <c r="B99" s="24"/>
      <c r="C99" s="102"/>
      <c r="D99" s="24"/>
      <c r="E99" s="24"/>
      <c r="F99" s="24">
        <f t="shared" si="4"/>
        <v>0</v>
      </c>
    </row>
    <row r="100">
      <c r="A100" s="29"/>
      <c r="B100" s="24"/>
      <c r="C100" s="102"/>
      <c r="D100" s="24"/>
      <c r="E100" s="24"/>
      <c r="F100" s="24">
        <f t="shared" si="4"/>
        <v>0</v>
      </c>
    </row>
    <row r="101">
      <c r="A101" s="29"/>
      <c r="B101" s="24"/>
      <c r="C101" s="102"/>
      <c r="D101" s="24"/>
      <c r="E101" s="24"/>
      <c r="F101" s="24">
        <f t="shared" si="4"/>
        <v>0</v>
      </c>
    </row>
    <row r="102">
      <c r="A102" s="29"/>
      <c r="B102" s="24"/>
      <c r="C102" s="102"/>
      <c r="D102" s="24"/>
      <c r="E102" s="24"/>
      <c r="F102" s="24">
        <f t="shared" si="4"/>
        <v>0</v>
      </c>
    </row>
    <row r="103">
      <c r="A103" s="30" t="s">
        <v>27</v>
      </c>
      <c r="B103" s="31"/>
      <c r="C103" s="31"/>
      <c r="D103" s="31"/>
      <c r="E103" s="32"/>
      <c r="F103" s="33" t="str">
        <f>SUM(F16:F102)</f>
        <v>#VALUE!</v>
      </c>
    </row>
    <row r="104">
      <c r="D104" s="35"/>
      <c r="E104" s="35"/>
    </row>
    <row r="105">
      <c r="D105" s="35"/>
      <c r="E105" s="35"/>
    </row>
    <row r="106">
      <c r="D106" s="35"/>
      <c r="E106" s="35"/>
    </row>
    <row r="107">
      <c r="D107" s="35"/>
      <c r="E107" s="35"/>
    </row>
    <row r="108">
      <c r="D108" s="35"/>
      <c r="E108" s="35"/>
    </row>
    <row r="109">
      <c r="D109" s="35"/>
      <c r="E109" s="35"/>
    </row>
    <row r="110">
      <c r="D110" s="35"/>
      <c r="E110" s="35"/>
    </row>
    <row r="111">
      <c r="D111" s="35"/>
      <c r="E111" s="35"/>
    </row>
    <row r="112">
      <c r="D112" s="35"/>
      <c r="E112" s="35"/>
    </row>
    <row r="113">
      <c r="D113" s="35"/>
      <c r="E113" s="35"/>
    </row>
    <row r="114">
      <c r="D114" s="35"/>
      <c r="E114" s="35"/>
    </row>
    <row r="115">
      <c r="D115" s="35"/>
      <c r="E115" s="35"/>
    </row>
    <row r="116">
      <c r="D116" s="35"/>
      <c r="E116" s="35"/>
    </row>
    <row r="117">
      <c r="D117" s="35"/>
      <c r="E117" s="35"/>
    </row>
    <row r="118">
      <c r="D118" s="35"/>
      <c r="E118" s="35"/>
    </row>
    <row r="119">
      <c r="D119" s="35"/>
      <c r="E119" s="35"/>
    </row>
    <row r="120">
      <c r="D120" s="35"/>
      <c r="E120" s="35"/>
    </row>
    <row r="121">
      <c r="D121" s="35"/>
      <c r="E121" s="35"/>
    </row>
    <row r="122">
      <c r="D122" s="35"/>
      <c r="E122" s="35"/>
    </row>
    <row r="123">
      <c r="D123" s="35"/>
      <c r="E123" s="35"/>
    </row>
    <row r="124">
      <c r="D124" s="35"/>
      <c r="E124" s="35"/>
    </row>
    <row r="125">
      <c r="D125" s="35"/>
      <c r="E125" s="35"/>
    </row>
    <row r="126">
      <c r="D126" s="35"/>
      <c r="E126" s="35"/>
    </row>
    <row r="127">
      <c r="D127" s="35"/>
      <c r="E127" s="35"/>
    </row>
    <row r="128">
      <c r="D128" s="35"/>
      <c r="E128" s="35"/>
    </row>
    <row r="129">
      <c r="D129" s="35"/>
      <c r="E129" s="35"/>
    </row>
    <row r="130">
      <c r="D130" s="35"/>
      <c r="E130" s="35"/>
    </row>
    <row r="131">
      <c r="D131" s="35"/>
      <c r="E131" s="35"/>
    </row>
    <row r="132">
      <c r="D132" s="35"/>
      <c r="E132" s="35"/>
    </row>
    <row r="133">
      <c r="D133" s="35"/>
      <c r="E133" s="35"/>
    </row>
    <row r="134">
      <c r="D134" s="35"/>
      <c r="E134" s="35"/>
    </row>
    <row r="135">
      <c r="D135" s="35"/>
      <c r="E135" s="35"/>
    </row>
    <row r="136">
      <c r="D136" s="35"/>
      <c r="E136" s="35"/>
    </row>
    <row r="137">
      <c r="D137" s="35"/>
      <c r="E137" s="35"/>
    </row>
    <row r="138">
      <c r="D138" s="35"/>
      <c r="E138" s="35"/>
    </row>
    <row r="139">
      <c r="D139" s="35"/>
      <c r="E139" s="35"/>
    </row>
    <row r="140">
      <c r="D140" s="35"/>
      <c r="E140" s="35"/>
    </row>
    <row r="141">
      <c r="D141" s="35"/>
      <c r="E141" s="35"/>
    </row>
    <row r="142">
      <c r="D142" s="35"/>
      <c r="E142" s="35"/>
    </row>
    <row r="143">
      <c r="D143" s="35"/>
      <c r="E143" s="35"/>
    </row>
    <row r="144">
      <c r="D144" s="35"/>
      <c r="E144" s="35"/>
    </row>
    <row r="145">
      <c r="D145" s="35"/>
      <c r="E145" s="35"/>
    </row>
    <row r="146">
      <c r="D146" s="35"/>
      <c r="E146" s="35"/>
    </row>
    <row r="147">
      <c r="D147" s="35"/>
      <c r="E147" s="35"/>
    </row>
    <row r="148">
      <c r="D148" s="35"/>
      <c r="E148" s="35"/>
    </row>
    <row r="149">
      <c r="D149" s="35"/>
      <c r="E149" s="35"/>
    </row>
    <row r="150">
      <c r="D150" s="35"/>
      <c r="E150" s="35"/>
    </row>
    <row r="151">
      <c r="D151" s="35"/>
      <c r="E151" s="35"/>
    </row>
    <row r="152">
      <c r="D152" s="35"/>
      <c r="E152" s="35"/>
    </row>
    <row r="153">
      <c r="D153" s="35"/>
      <c r="E153" s="35"/>
    </row>
    <row r="154">
      <c r="D154" s="35"/>
      <c r="E154" s="35"/>
    </row>
    <row r="155">
      <c r="D155" s="35"/>
      <c r="E155" s="35"/>
    </row>
    <row r="156">
      <c r="D156" s="35"/>
      <c r="E156" s="35"/>
    </row>
    <row r="157">
      <c r="D157" s="35"/>
      <c r="E157" s="35"/>
    </row>
    <row r="158">
      <c r="D158" s="35"/>
      <c r="E158" s="35"/>
    </row>
    <row r="159">
      <c r="D159" s="35"/>
      <c r="E159" s="35"/>
    </row>
    <row r="160">
      <c r="D160" s="35"/>
      <c r="E160" s="35"/>
    </row>
    <row r="161">
      <c r="D161" s="35"/>
      <c r="E161" s="35"/>
    </row>
    <row r="162">
      <c r="D162" s="35"/>
      <c r="E162" s="35"/>
    </row>
    <row r="163">
      <c r="D163" s="35"/>
      <c r="E163" s="35"/>
    </row>
    <row r="164">
      <c r="D164" s="35"/>
      <c r="E164" s="35"/>
    </row>
    <row r="165">
      <c r="D165" s="35"/>
      <c r="E165" s="35"/>
    </row>
    <row r="166">
      <c r="D166" s="35"/>
      <c r="E166" s="35"/>
    </row>
    <row r="167">
      <c r="D167" s="35"/>
      <c r="E167" s="35"/>
    </row>
    <row r="168">
      <c r="D168" s="35"/>
      <c r="E168" s="35"/>
    </row>
    <row r="169">
      <c r="D169" s="35"/>
      <c r="E169" s="35"/>
    </row>
    <row r="170">
      <c r="D170" s="35"/>
      <c r="E170" s="35"/>
    </row>
    <row r="171">
      <c r="D171" s="35"/>
      <c r="E171" s="35"/>
    </row>
    <row r="172">
      <c r="D172" s="35"/>
      <c r="E172" s="35"/>
    </row>
    <row r="173">
      <c r="D173" s="35"/>
      <c r="E173" s="35"/>
    </row>
    <row r="174">
      <c r="D174" s="35"/>
      <c r="E174" s="35"/>
    </row>
    <row r="175">
      <c r="D175" s="35"/>
      <c r="E175" s="35"/>
    </row>
    <row r="176">
      <c r="D176" s="35"/>
      <c r="E176" s="35"/>
    </row>
    <row r="177">
      <c r="D177" s="35"/>
      <c r="E177" s="35"/>
    </row>
    <row r="178">
      <c r="D178" s="35"/>
      <c r="E178" s="35"/>
    </row>
    <row r="179">
      <c r="D179" s="35"/>
      <c r="E179" s="35"/>
    </row>
    <row r="180">
      <c r="D180" s="35"/>
      <c r="E180" s="35"/>
    </row>
    <row r="181">
      <c r="D181" s="35"/>
      <c r="E181" s="35"/>
    </row>
    <row r="182">
      <c r="D182" s="35"/>
      <c r="E182" s="35"/>
    </row>
    <row r="183">
      <c r="D183" s="35"/>
      <c r="E183" s="35"/>
    </row>
    <row r="184">
      <c r="D184" s="35"/>
      <c r="E184" s="35"/>
    </row>
    <row r="185">
      <c r="D185" s="35"/>
      <c r="E185" s="35"/>
    </row>
    <row r="186">
      <c r="D186" s="35"/>
      <c r="E186" s="35"/>
    </row>
    <row r="187">
      <c r="D187" s="35"/>
      <c r="E187" s="35"/>
    </row>
    <row r="188">
      <c r="D188" s="35"/>
      <c r="E188" s="35"/>
    </row>
    <row r="189">
      <c r="D189" s="35"/>
      <c r="E189" s="35"/>
    </row>
    <row r="190">
      <c r="D190" s="35"/>
      <c r="E190" s="35"/>
    </row>
    <row r="191">
      <c r="D191" s="35"/>
      <c r="E191" s="35"/>
    </row>
    <row r="192">
      <c r="D192" s="35"/>
      <c r="E192" s="35"/>
    </row>
    <row r="193">
      <c r="D193" s="35"/>
      <c r="E193" s="35"/>
    </row>
    <row r="194">
      <c r="D194" s="35"/>
      <c r="E194" s="35"/>
    </row>
    <row r="195">
      <c r="D195" s="35"/>
      <c r="E195" s="35"/>
    </row>
    <row r="196">
      <c r="D196" s="35"/>
      <c r="E196" s="35"/>
    </row>
    <row r="197">
      <c r="D197" s="35"/>
      <c r="E197" s="35"/>
    </row>
    <row r="198">
      <c r="D198" s="35"/>
      <c r="E198" s="35"/>
    </row>
    <row r="199">
      <c r="D199" s="35"/>
      <c r="E199" s="35"/>
    </row>
    <row r="200">
      <c r="D200" s="35"/>
      <c r="E200" s="35"/>
    </row>
    <row r="201">
      <c r="D201" s="35"/>
      <c r="E201" s="35"/>
    </row>
    <row r="202">
      <c r="D202" s="35"/>
      <c r="E202" s="35"/>
    </row>
    <row r="203">
      <c r="D203" s="35"/>
      <c r="E203" s="35"/>
    </row>
    <row r="204">
      <c r="D204" s="35"/>
      <c r="E204" s="35"/>
    </row>
    <row r="205">
      <c r="D205" s="35"/>
      <c r="E205" s="35"/>
    </row>
    <row r="206">
      <c r="D206" s="35"/>
      <c r="E206" s="35"/>
    </row>
    <row r="207">
      <c r="D207" s="35"/>
      <c r="E207" s="35"/>
    </row>
    <row r="208">
      <c r="D208" s="35"/>
      <c r="E208" s="35"/>
    </row>
    <row r="209">
      <c r="D209" s="35"/>
      <c r="E209" s="35"/>
    </row>
    <row r="210">
      <c r="D210" s="35"/>
      <c r="E210" s="35"/>
    </row>
    <row r="211">
      <c r="D211" s="35"/>
      <c r="E211" s="35"/>
    </row>
    <row r="212">
      <c r="D212" s="35"/>
      <c r="E212" s="35"/>
    </row>
    <row r="213">
      <c r="D213" s="35"/>
      <c r="E213" s="35"/>
    </row>
    <row r="214">
      <c r="D214" s="35"/>
      <c r="E214" s="35"/>
    </row>
    <row r="215">
      <c r="D215" s="35"/>
      <c r="E215" s="35"/>
    </row>
    <row r="216">
      <c r="D216" s="35"/>
      <c r="E216" s="35"/>
    </row>
    <row r="217">
      <c r="D217" s="35"/>
      <c r="E217" s="35"/>
    </row>
    <row r="218">
      <c r="D218" s="35"/>
      <c r="E218" s="35"/>
    </row>
    <row r="219">
      <c r="D219" s="35"/>
      <c r="E219" s="35"/>
    </row>
    <row r="220">
      <c r="D220" s="35"/>
      <c r="E220" s="35"/>
    </row>
    <row r="221">
      <c r="D221" s="35"/>
      <c r="E221" s="35"/>
    </row>
    <row r="222">
      <c r="D222" s="35"/>
      <c r="E222" s="35"/>
    </row>
    <row r="223">
      <c r="D223" s="35"/>
      <c r="E223" s="35"/>
    </row>
    <row r="224">
      <c r="D224" s="35"/>
      <c r="E224" s="35"/>
    </row>
    <row r="225">
      <c r="D225" s="35"/>
      <c r="E225" s="35"/>
    </row>
    <row r="226">
      <c r="D226" s="35"/>
      <c r="E226" s="35"/>
    </row>
    <row r="227">
      <c r="D227" s="35"/>
      <c r="E227" s="35"/>
    </row>
    <row r="228">
      <c r="D228" s="35"/>
      <c r="E228" s="35"/>
    </row>
    <row r="229">
      <c r="D229" s="35"/>
      <c r="E229" s="35"/>
    </row>
    <row r="230">
      <c r="D230" s="35"/>
      <c r="E230" s="35"/>
    </row>
    <row r="231">
      <c r="D231" s="35"/>
      <c r="E231" s="35"/>
    </row>
    <row r="232">
      <c r="D232" s="35"/>
      <c r="E232" s="35"/>
    </row>
    <row r="233">
      <c r="D233" s="35"/>
      <c r="E233" s="35"/>
    </row>
    <row r="234">
      <c r="D234" s="35"/>
      <c r="E234" s="35"/>
    </row>
    <row r="235">
      <c r="D235" s="35"/>
      <c r="E235" s="35"/>
    </row>
    <row r="236">
      <c r="D236" s="35"/>
      <c r="E236" s="35"/>
    </row>
    <row r="237">
      <c r="D237" s="35"/>
      <c r="E237" s="35"/>
    </row>
    <row r="238">
      <c r="D238" s="35"/>
      <c r="E238" s="35"/>
    </row>
    <row r="239">
      <c r="D239" s="35"/>
      <c r="E239" s="35"/>
    </row>
    <row r="240">
      <c r="D240" s="35"/>
      <c r="E240" s="35"/>
    </row>
    <row r="241">
      <c r="D241" s="35"/>
      <c r="E241" s="35"/>
    </row>
    <row r="242">
      <c r="D242" s="35"/>
      <c r="E242" s="35"/>
    </row>
    <row r="243">
      <c r="D243" s="35"/>
      <c r="E243" s="35"/>
    </row>
    <row r="244">
      <c r="D244" s="35"/>
      <c r="E244" s="35"/>
    </row>
    <row r="245">
      <c r="D245" s="35"/>
      <c r="E245" s="35"/>
    </row>
    <row r="246">
      <c r="D246" s="35"/>
      <c r="E246" s="35"/>
    </row>
    <row r="247">
      <c r="D247" s="35"/>
      <c r="E247" s="35"/>
    </row>
    <row r="248">
      <c r="D248" s="35"/>
      <c r="E248" s="35"/>
    </row>
    <row r="249">
      <c r="D249" s="35"/>
      <c r="E249" s="35"/>
    </row>
    <row r="250">
      <c r="D250" s="35"/>
      <c r="E250" s="35"/>
    </row>
    <row r="251">
      <c r="D251" s="35"/>
      <c r="E251" s="35"/>
    </row>
    <row r="252">
      <c r="D252" s="35"/>
      <c r="E252" s="35"/>
    </row>
    <row r="253">
      <c r="D253" s="35"/>
      <c r="E253" s="35"/>
    </row>
    <row r="254">
      <c r="D254" s="35"/>
      <c r="E254" s="35"/>
    </row>
    <row r="255">
      <c r="D255" s="35"/>
      <c r="E255" s="35"/>
    </row>
    <row r="256">
      <c r="D256" s="35"/>
      <c r="E256" s="35"/>
    </row>
    <row r="257">
      <c r="D257" s="35"/>
      <c r="E257" s="35"/>
    </row>
    <row r="258">
      <c r="D258" s="35"/>
      <c r="E258" s="35"/>
    </row>
    <row r="259">
      <c r="D259" s="35"/>
      <c r="E259" s="35"/>
    </row>
    <row r="260">
      <c r="D260" s="35"/>
      <c r="E260" s="35"/>
    </row>
    <row r="261">
      <c r="D261" s="35"/>
      <c r="E261" s="35"/>
    </row>
    <row r="262">
      <c r="D262" s="35"/>
      <c r="E262" s="35"/>
    </row>
    <row r="263">
      <c r="D263" s="35"/>
      <c r="E263" s="35"/>
    </row>
    <row r="264">
      <c r="D264" s="35"/>
      <c r="E264" s="35"/>
    </row>
    <row r="265">
      <c r="D265" s="35"/>
      <c r="E265" s="35"/>
    </row>
    <row r="266">
      <c r="D266" s="35"/>
      <c r="E266" s="35"/>
    </row>
    <row r="267">
      <c r="D267" s="35"/>
      <c r="E267" s="35"/>
    </row>
    <row r="268">
      <c r="D268" s="35"/>
      <c r="E268" s="35"/>
    </row>
    <row r="269">
      <c r="D269" s="35"/>
      <c r="E269" s="35"/>
    </row>
    <row r="270">
      <c r="D270" s="35"/>
      <c r="E270" s="35"/>
    </row>
    <row r="271">
      <c r="D271" s="35"/>
      <c r="E271" s="35"/>
    </row>
    <row r="272">
      <c r="D272" s="35"/>
      <c r="E272" s="35"/>
    </row>
    <row r="273">
      <c r="D273" s="35"/>
      <c r="E273" s="35"/>
    </row>
    <row r="274">
      <c r="D274" s="35"/>
      <c r="E274" s="35"/>
    </row>
    <row r="275">
      <c r="D275" s="35"/>
      <c r="E275" s="35"/>
    </row>
    <row r="276">
      <c r="D276" s="35"/>
      <c r="E276" s="35"/>
    </row>
    <row r="277">
      <c r="D277" s="35"/>
      <c r="E277" s="35"/>
    </row>
    <row r="278">
      <c r="D278" s="35"/>
      <c r="E278" s="35"/>
    </row>
    <row r="279">
      <c r="D279" s="35"/>
      <c r="E279" s="35"/>
    </row>
    <row r="280">
      <c r="D280" s="35"/>
      <c r="E280" s="35"/>
    </row>
    <row r="281">
      <c r="D281" s="35"/>
      <c r="E281" s="35"/>
    </row>
    <row r="282">
      <c r="D282" s="35"/>
      <c r="E282" s="35"/>
    </row>
    <row r="283">
      <c r="D283" s="35"/>
      <c r="E283" s="35"/>
    </row>
    <row r="284">
      <c r="D284" s="35"/>
      <c r="E284" s="35"/>
    </row>
    <row r="285">
      <c r="D285" s="35"/>
      <c r="E285" s="35"/>
    </row>
    <row r="286">
      <c r="D286" s="35"/>
      <c r="E286" s="35"/>
    </row>
    <row r="287">
      <c r="D287" s="35"/>
      <c r="E287" s="35"/>
    </row>
    <row r="288">
      <c r="D288" s="35"/>
      <c r="E288" s="35"/>
    </row>
    <row r="289">
      <c r="D289" s="35"/>
      <c r="E289" s="35"/>
    </row>
    <row r="290">
      <c r="D290" s="35"/>
      <c r="E290" s="35"/>
    </row>
    <row r="291">
      <c r="D291" s="35"/>
      <c r="E291" s="35"/>
    </row>
    <row r="292">
      <c r="D292" s="35"/>
      <c r="E292" s="35"/>
    </row>
    <row r="293">
      <c r="D293" s="35"/>
      <c r="E293" s="35"/>
    </row>
    <row r="294">
      <c r="D294" s="35"/>
      <c r="E294" s="35"/>
    </row>
    <row r="295">
      <c r="D295" s="35"/>
      <c r="E295" s="35"/>
    </row>
    <row r="296">
      <c r="D296" s="35"/>
      <c r="E296" s="35"/>
    </row>
    <row r="297">
      <c r="D297" s="35"/>
      <c r="E297" s="35"/>
    </row>
    <row r="298">
      <c r="D298" s="35"/>
      <c r="E298" s="35"/>
    </row>
    <row r="299">
      <c r="D299" s="35"/>
      <c r="E299" s="35"/>
    </row>
    <row r="300">
      <c r="D300" s="35"/>
      <c r="E300" s="35"/>
    </row>
    <row r="301">
      <c r="D301" s="35"/>
      <c r="E301" s="35"/>
    </row>
    <row r="302">
      <c r="D302" s="35"/>
      <c r="E302" s="35"/>
    </row>
    <row r="303">
      <c r="D303" s="35"/>
      <c r="E303" s="35"/>
    </row>
    <row r="304">
      <c r="D304" s="35"/>
      <c r="E304" s="35"/>
    </row>
    <row r="305">
      <c r="D305" s="35"/>
      <c r="E305" s="35"/>
    </row>
    <row r="306">
      <c r="D306" s="35"/>
      <c r="E306" s="35"/>
    </row>
    <row r="307">
      <c r="D307" s="35"/>
      <c r="E307" s="35"/>
    </row>
    <row r="308">
      <c r="D308" s="35"/>
      <c r="E308" s="35"/>
    </row>
    <row r="309">
      <c r="D309" s="35"/>
      <c r="E309" s="35"/>
    </row>
    <row r="310">
      <c r="D310" s="35"/>
      <c r="E310" s="35"/>
    </row>
    <row r="311">
      <c r="D311" s="35"/>
      <c r="E311" s="35"/>
    </row>
    <row r="312">
      <c r="D312" s="35"/>
      <c r="E312" s="35"/>
    </row>
    <row r="313">
      <c r="D313" s="35"/>
      <c r="E313" s="35"/>
    </row>
    <row r="314">
      <c r="D314" s="35"/>
      <c r="E314" s="35"/>
    </row>
    <row r="315">
      <c r="D315" s="35"/>
      <c r="E315" s="35"/>
    </row>
    <row r="316">
      <c r="D316" s="35"/>
      <c r="E316" s="35"/>
    </row>
    <row r="317">
      <c r="D317" s="35"/>
      <c r="E317" s="35"/>
    </row>
    <row r="318">
      <c r="D318" s="35"/>
      <c r="E318" s="35"/>
    </row>
    <row r="319">
      <c r="D319" s="35"/>
      <c r="E319" s="35"/>
    </row>
    <row r="320">
      <c r="D320" s="35"/>
      <c r="E320" s="35"/>
    </row>
    <row r="321">
      <c r="D321" s="35"/>
      <c r="E321" s="35"/>
    </row>
    <row r="322">
      <c r="D322" s="35"/>
      <c r="E322" s="35"/>
    </row>
    <row r="323">
      <c r="D323" s="35"/>
      <c r="E323" s="35"/>
    </row>
    <row r="324">
      <c r="D324" s="35"/>
      <c r="E324" s="35"/>
    </row>
    <row r="325">
      <c r="D325" s="35"/>
      <c r="E325" s="35"/>
    </row>
    <row r="326">
      <c r="D326" s="35"/>
      <c r="E326" s="35"/>
    </row>
    <row r="327">
      <c r="D327" s="35"/>
      <c r="E327" s="35"/>
    </row>
    <row r="328">
      <c r="D328" s="35"/>
      <c r="E328" s="35"/>
    </row>
    <row r="329">
      <c r="D329" s="35"/>
      <c r="E329" s="35"/>
    </row>
    <row r="330">
      <c r="D330" s="35"/>
      <c r="E330" s="35"/>
    </row>
    <row r="331">
      <c r="D331" s="35"/>
      <c r="E331" s="35"/>
    </row>
    <row r="332">
      <c r="D332" s="35"/>
      <c r="E332" s="35"/>
    </row>
    <row r="333">
      <c r="D333" s="35"/>
      <c r="E333" s="35"/>
    </row>
    <row r="334">
      <c r="D334" s="35"/>
      <c r="E334" s="35"/>
    </row>
    <row r="335">
      <c r="D335" s="35"/>
      <c r="E335" s="35"/>
    </row>
    <row r="336">
      <c r="D336" s="35"/>
      <c r="E336" s="35"/>
    </row>
    <row r="337">
      <c r="D337" s="35"/>
      <c r="E337" s="35"/>
    </row>
    <row r="338">
      <c r="D338" s="35"/>
      <c r="E338" s="35"/>
    </row>
    <row r="339">
      <c r="D339" s="35"/>
      <c r="E339" s="35"/>
    </row>
    <row r="340">
      <c r="D340" s="35"/>
      <c r="E340" s="35"/>
    </row>
    <row r="341">
      <c r="D341" s="35"/>
      <c r="E341" s="35"/>
    </row>
    <row r="342">
      <c r="D342" s="35"/>
      <c r="E342" s="35"/>
    </row>
    <row r="343">
      <c r="D343" s="35"/>
      <c r="E343" s="35"/>
    </row>
    <row r="344">
      <c r="D344" s="35"/>
      <c r="E344" s="35"/>
    </row>
    <row r="345">
      <c r="D345" s="35"/>
      <c r="E345" s="35"/>
    </row>
    <row r="346">
      <c r="D346" s="35"/>
      <c r="E346" s="35"/>
    </row>
    <row r="347">
      <c r="D347" s="35"/>
      <c r="E347" s="35"/>
    </row>
    <row r="348">
      <c r="D348" s="35"/>
      <c r="E348" s="35"/>
    </row>
    <row r="349">
      <c r="D349" s="35"/>
      <c r="E349" s="35"/>
    </row>
    <row r="350">
      <c r="D350" s="35"/>
      <c r="E350" s="35"/>
    </row>
    <row r="351">
      <c r="D351" s="35"/>
      <c r="E351" s="35"/>
    </row>
    <row r="352">
      <c r="D352" s="35"/>
      <c r="E352" s="35"/>
    </row>
    <row r="353">
      <c r="D353" s="35"/>
      <c r="E353" s="35"/>
    </row>
    <row r="354">
      <c r="D354" s="35"/>
      <c r="E354" s="35"/>
    </row>
    <row r="355">
      <c r="D355" s="35"/>
      <c r="E355" s="35"/>
    </row>
    <row r="356">
      <c r="D356" s="35"/>
      <c r="E356" s="35"/>
    </row>
    <row r="357">
      <c r="D357" s="35"/>
      <c r="E357" s="35"/>
    </row>
    <row r="358">
      <c r="D358" s="35"/>
      <c r="E358" s="35"/>
    </row>
    <row r="359">
      <c r="D359" s="35"/>
      <c r="E359" s="35"/>
    </row>
    <row r="360">
      <c r="D360" s="35"/>
      <c r="E360" s="35"/>
    </row>
    <row r="361">
      <c r="D361" s="35"/>
      <c r="E361" s="35"/>
    </row>
    <row r="362">
      <c r="D362" s="35"/>
      <c r="E362" s="35"/>
    </row>
    <row r="363">
      <c r="D363" s="35"/>
      <c r="E363" s="35"/>
    </row>
    <row r="364">
      <c r="D364" s="35"/>
      <c r="E364" s="35"/>
    </row>
    <row r="365">
      <c r="D365" s="35"/>
      <c r="E365" s="35"/>
    </row>
    <row r="366">
      <c r="D366" s="35"/>
      <c r="E366" s="35"/>
    </row>
    <row r="367">
      <c r="D367" s="35"/>
      <c r="E367" s="35"/>
    </row>
    <row r="368">
      <c r="D368" s="35"/>
      <c r="E368" s="35"/>
    </row>
    <row r="369">
      <c r="D369" s="35"/>
      <c r="E369" s="35"/>
    </row>
    <row r="370">
      <c r="D370" s="35"/>
      <c r="E370" s="35"/>
    </row>
    <row r="371">
      <c r="D371" s="35"/>
      <c r="E371" s="35"/>
    </row>
    <row r="372">
      <c r="D372" s="35"/>
      <c r="E372" s="35"/>
    </row>
    <row r="373">
      <c r="D373" s="35"/>
      <c r="E373" s="35"/>
    </row>
    <row r="374">
      <c r="D374" s="35"/>
      <c r="E374" s="35"/>
    </row>
    <row r="375">
      <c r="D375" s="35"/>
      <c r="E375" s="35"/>
    </row>
    <row r="376">
      <c r="D376" s="35"/>
      <c r="E376" s="35"/>
    </row>
    <row r="377">
      <c r="D377" s="35"/>
      <c r="E377" s="35"/>
    </row>
    <row r="378">
      <c r="D378" s="35"/>
      <c r="E378" s="35"/>
    </row>
    <row r="379">
      <c r="D379" s="35"/>
      <c r="E379" s="35"/>
    </row>
    <row r="380">
      <c r="D380" s="35"/>
      <c r="E380" s="35"/>
    </row>
    <row r="381">
      <c r="D381" s="35"/>
      <c r="E381" s="35"/>
    </row>
    <row r="382">
      <c r="D382" s="35"/>
      <c r="E382" s="35"/>
    </row>
    <row r="383">
      <c r="D383" s="35"/>
      <c r="E383" s="35"/>
    </row>
    <row r="384">
      <c r="D384" s="35"/>
      <c r="E384" s="35"/>
    </row>
    <row r="385">
      <c r="D385" s="35"/>
      <c r="E385" s="35"/>
    </row>
    <row r="386">
      <c r="D386" s="35"/>
      <c r="E386" s="35"/>
    </row>
    <row r="387">
      <c r="D387" s="35"/>
      <c r="E387" s="35"/>
    </row>
    <row r="388">
      <c r="D388" s="35"/>
      <c r="E388" s="35"/>
    </row>
    <row r="389">
      <c r="D389" s="35"/>
      <c r="E389" s="35"/>
    </row>
    <row r="390">
      <c r="D390" s="35"/>
      <c r="E390" s="35"/>
    </row>
    <row r="391">
      <c r="D391" s="35"/>
      <c r="E391" s="35"/>
    </row>
    <row r="392">
      <c r="D392" s="35"/>
      <c r="E392" s="35"/>
    </row>
    <row r="393">
      <c r="D393" s="35"/>
      <c r="E393" s="35"/>
    </row>
    <row r="394">
      <c r="D394" s="35"/>
      <c r="E394" s="35"/>
    </row>
    <row r="395">
      <c r="D395" s="35"/>
      <c r="E395" s="35"/>
    </row>
    <row r="396">
      <c r="D396" s="35"/>
      <c r="E396" s="35"/>
    </row>
    <row r="397">
      <c r="D397" s="35"/>
      <c r="E397" s="35"/>
    </row>
    <row r="398">
      <c r="D398" s="35"/>
      <c r="E398" s="35"/>
    </row>
    <row r="399">
      <c r="D399" s="35"/>
      <c r="E399" s="35"/>
    </row>
    <row r="400">
      <c r="D400" s="35"/>
      <c r="E400" s="35"/>
    </row>
    <row r="401">
      <c r="D401" s="35"/>
      <c r="E401" s="35"/>
    </row>
    <row r="402">
      <c r="D402" s="35"/>
      <c r="E402" s="35"/>
    </row>
    <row r="403">
      <c r="D403" s="35"/>
      <c r="E403" s="35"/>
    </row>
    <row r="404">
      <c r="D404" s="35"/>
      <c r="E404" s="35"/>
    </row>
    <row r="405">
      <c r="D405" s="35"/>
      <c r="E405" s="35"/>
    </row>
    <row r="406">
      <c r="D406" s="35"/>
      <c r="E406" s="35"/>
    </row>
    <row r="407">
      <c r="D407" s="35"/>
      <c r="E407" s="35"/>
    </row>
    <row r="408">
      <c r="D408" s="35"/>
      <c r="E408" s="35"/>
    </row>
    <row r="409">
      <c r="D409" s="35"/>
      <c r="E409" s="35"/>
    </row>
    <row r="410">
      <c r="D410" s="35"/>
      <c r="E410" s="35"/>
    </row>
    <row r="411">
      <c r="D411" s="35"/>
      <c r="E411" s="35"/>
    </row>
    <row r="412">
      <c r="D412" s="35"/>
      <c r="E412" s="35"/>
    </row>
    <row r="413">
      <c r="D413" s="35"/>
      <c r="E413" s="35"/>
    </row>
    <row r="414">
      <c r="D414" s="35"/>
      <c r="E414" s="35"/>
    </row>
    <row r="415">
      <c r="D415" s="35"/>
      <c r="E415" s="35"/>
    </row>
    <row r="416">
      <c r="D416" s="35"/>
      <c r="E416" s="35"/>
    </row>
    <row r="417">
      <c r="D417" s="35"/>
      <c r="E417" s="35"/>
    </row>
    <row r="418">
      <c r="D418" s="35"/>
      <c r="E418" s="35"/>
    </row>
    <row r="419">
      <c r="D419" s="35"/>
      <c r="E419" s="35"/>
    </row>
    <row r="420">
      <c r="D420" s="35"/>
      <c r="E420" s="35"/>
    </row>
    <row r="421">
      <c r="D421" s="35"/>
      <c r="E421" s="35"/>
    </row>
    <row r="422">
      <c r="D422" s="35"/>
      <c r="E422" s="35"/>
    </row>
    <row r="423">
      <c r="D423" s="35"/>
      <c r="E423" s="35"/>
    </row>
    <row r="424">
      <c r="D424" s="35"/>
      <c r="E424" s="35"/>
    </row>
    <row r="425">
      <c r="D425" s="35"/>
      <c r="E425" s="35"/>
    </row>
    <row r="426">
      <c r="D426" s="35"/>
      <c r="E426" s="35"/>
    </row>
    <row r="427">
      <c r="D427" s="35"/>
      <c r="E427" s="35"/>
    </row>
    <row r="428">
      <c r="D428" s="35"/>
      <c r="E428" s="35"/>
    </row>
    <row r="429">
      <c r="D429" s="35"/>
      <c r="E429" s="35"/>
    </row>
    <row r="430">
      <c r="D430" s="35"/>
      <c r="E430" s="35"/>
    </row>
    <row r="431">
      <c r="D431" s="35"/>
      <c r="E431" s="35"/>
    </row>
    <row r="432">
      <c r="D432" s="35"/>
      <c r="E432" s="35"/>
    </row>
    <row r="433">
      <c r="D433" s="35"/>
      <c r="E433" s="35"/>
    </row>
    <row r="434">
      <c r="D434" s="35"/>
      <c r="E434" s="35"/>
    </row>
    <row r="435">
      <c r="D435" s="35"/>
      <c r="E435" s="35"/>
    </row>
    <row r="436">
      <c r="D436" s="35"/>
      <c r="E436" s="35"/>
    </row>
    <row r="437">
      <c r="D437" s="35"/>
      <c r="E437" s="35"/>
    </row>
    <row r="438">
      <c r="D438" s="35"/>
      <c r="E438" s="35"/>
    </row>
    <row r="439">
      <c r="D439" s="35"/>
      <c r="E439" s="35"/>
    </row>
    <row r="440">
      <c r="D440" s="35"/>
      <c r="E440" s="35"/>
    </row>
    <row r="441">
      <c r="D441" s="35"/>
      <c r="E441" s="35"/>
    </row>
    <row r="442">
      <c r="D442" s="35"/>
      <c r="E442" s="35"/>
    </row>
    <row r="443">
      <c r="D443" s="35"/>
      <c r="E443" s="35"/>
    </row>
    <row r="444">
      <c r="D444" s="35"/>
      <c r="E444" s="35"/>
    </row>
    <row r="445">
      <c r="D445" s="35"/>
      <c r="E445" s="35"/>
    </row>
    <row r="446">
      <c r="D446" s="35"/>
      <c r="E446" s="35"/>
    </row>
    <row r="447">
      <c r="D447" s="35"/>
      <c r="E447" s="35"/>
    </row>
    <row r="448">
      <c r="D448" s="35"/>
      <c r="E448" s="35"/>
    </row>
    <row r="449">
      <c r="D449" s="35"/>
      <c r="E449" s="35"/>
    </row>
    <row r="450">
      <c r="D450" s="35"/>
      <c r="E450" s="35"/>
    </row>
    <row r="451">
      <c r="D451" s="35"/>
      <c r="E451" s="35"/>
    </row>
    <row r="452">
      <c r="D452" s="35"/>
      <c r="E452" s="35"/>
    </row>
    <row r="453">
      <c r="D453" s="35"/>
      <c r="E453" s="35"/>
    </row>
    <row r="454">
      <c r="D454" s="35"/>
      <c r="E454" s="35"/>
    </row>
    <row r="455">
      <c r="D455" s="35"/>
      <c r="E455" s="35"/>
    </row>
    <row r="456">
      <c r="D456" s="35"/>
      <c r="E456" s="35"/>
    </row>
    <row r="457">
      <c r="D457" s="35"/>
      <c r="E457" s="35"/>
    </row>
    <row r="458">
      <c r="D458" s="35"/>
      <c r="E458" s="35"/>
    </row>
    <row r="459">
      <c r="D459" s="35"/>
      <c r="E459" s="35"/>
    </row>
    <row r="460">
      <c r="D460" s="35"/>
      <c r="E460" s="35"/>
    </row>
    <row r="461">
      <c r="D461" s="35"/>
      <c r="E461" s="35"/>
    </row>
    <row r="462">
      <c r="D462" s="35"/>
      <c r="E462" s="35"/>
    </row>
    <row r="463">
      <c r="D463" s="35"/>
      <c r="E463" s="35"/>
    </row>
    <row r="464">
      <c r="D464" s="35"/>
      <c r="E464" s="35"/>
    </row>
    <row r="465">
      <c r="D465" s="35"/>
      <c r="E465" s="35"/>
    </row>
    <row r="466">
      <c r="D466" s="35"/>
      <c r="E466" s="35"/>
    </row>
    <row r="467">
      <c r="D467" s="35"/>
      <c r="E467" s="35"/>
    </row>
    <row r="468">
      <c r="D468" s="35"/>
      <c r="E468" s="35"/>
    </row>
    <row r="469">
      <c r="D469" s="35"/>
      <c r="E469" s="35"/>
    </row>
    <row r="470">
      <c r="D470" s="35"/>
      <c r="E470" s="35"/>
    </row>
    <row r="471">
      <c r="D471" s="35"/>
      <c r="E471" s="35"/>
    </row>
    <row r="472">
      <c r="D472" s="35"/>
      <c r="E472" s="35"/>
    </row>
    <row r="473">
      <c r="D473" s="35"/>
      <c r="E473" s="35"/>
    </row>
    <row r="474">
      <c r="D474" s="35"/>
      <c r="E474" s="35"/>
    </row>
    <row r="475">
      <c r="D475" s="35"/>
      <c r="E475" s="35"/>
    </row>
    <row r="476">
      <c r="D476" s="35"/>
      <c r="E476" s="35"/>
    </row>
    <row r="477">
      <c r="D477" s="35"/>
      <c r="E477" s="35"/>
    </row>
    <row r="478">
      <c r="D478" s="35"/>
      <c r="E478" s="35"/>
    </row>
    <row r="479">
      <c r="D479" s="35"/>
      <c r="E479" s="35"/>
    </row>
    <row r="480">
      <c r="D480" s="35"/>
      <c r="E480" s="35"/>
    </row>
    <row r="481">
      <c r="D481" s="35"/>
      <c r="E481" s="35"/>
    </row>
    <row r="482">
      <c r="D482" s="35"/>
      <c r="E482" s="35"/>
    </row>
    <row r="483">
      <c r="D483" s="35"/>
      <c r="E483" s="35"/>
    </row>
    <row r="484">
      <c r="D484" s="35"/>
      <c r="E484" s="35"/>
    </row>
    <row r="485">
      <c r="D485" s="35"/>
      <c r="E485" s="35"/>
    </row>
    <row r="486">
      <c r="D486" s="35"/>
      <c r="E486" s="35"/>
    </row>
    <row r="487">
      <c r="D487" s="35"/>
      <c r="E487" s="35"/>
    </row>
    <row r="488">
      <c r="D488" s="35"/>
      <c r="E488" s="35"/>
    </row>
    <row r="489">
      <c r="D489" s="35"/>
      <c r="E489" s="35"/>
    </row>
    <row r="490">
      <c r="D490" s="35"/>
      <c r="E490" s="35"/>
    </row>
    <row r="491">
      <c r="D491" s="35"/>
      <c r="E491" s="35"/>
    </row>
    <row r="492">
      <c r="D492" s="35"/>
      <c r="E492" s="35"/>
    </row>
    <row r="493">
      <c r="D493" s="35"/>
      <c r="E493" s="35"/>
    </row>
    <row r="494">
      <c r="D494" s="35"/>
      <c r="E494" s="35"/>
    </row>
    <row r="495">
      <c r="D495" s="35"/>
      <c r="E495" s="35"/>
    </row>
    <row r="496">
      <c r="D496" s="35"/>
      <c r="E496" s="35"/>
    </row>
    <row r="497">
      <c r="D497" s="35"/>
      <c r="E497" s="35"/>
    </row>
    <row r="498">
      <c r="D498" s="35"/>
      <c r="E498" s="35"/>
    </row>
    <row r="499">
      <c r="D499" s="35"/>
      <c r="E499" s="35"/>
    </row>
    <row r="500">
      <c r="D500" s="35"/>
      <c r="E500" s="35"/>
    </row>
    <row r="501">
      <c r="D501" s="35"/>
      <c r="E501" s="35"/>
    </row>
    <row r="502">
      <c r="D502" s="35"/>
      <c r="E502" s="35"/>
    </row>
    <row r="503">
      <c r="D503" s="35"/>
      <c r="E503" s="35"/>
    </row>
    <row r="504">
      <c r="D504" s="35"/>
      <c r="E504" s="35"/>
    </row>
    <row r="505">
      <c r="D505" s="35"/>
      <c r="E505" s="35"/>
    </row>
    <row r="506">
      <c r="D506" s="35"/>
      <c r="E506" s="35"/>
    </row>
    <row r="507">
      <c r="D507" s="35"/>
      <c r="E507" s="35"/>
    </row>
    <row r="508">
      <c r="D508" s="35"/>
      <c r="E508" s="35"/>
    </row>
    <row r="509">
      <c r="D509" s="35"/>
      <c r="E509" s="35"/>
    </row>
    <row r="510">
      <c r="D510" s="35"/>
      <c r="E510" s="35"/>
    </row>
    <row r="511">
      <c r="D511" s="35"/>
      <c r="E511" s="35"/>
    </row>
    <row r="512">
      <c r="D512" s="35"/>
      <c r="E512" s="35"/>
    </row>
    <row r="513">
      <c r="D513" s="35"/>
      <c r="E513" s="35"/>
    </row>
    <row r="514">
      <c r="D514" s="35"/>
      <c r="E514" s="35"/>
    </row>
    <row r="515">
      <c r="D515" s="35"/>
      <c r="E515" s="35"/>
    </row>
    <row r="516">
      <c r="D516" s="35"/>
      <c r="E516" s="35"/>
    </row>
    <row r="517">
      <c r="D517" s="35"/>
      <c r="E517" s="35"/>
    </row>
    <row r="518">
      <c r="D518" s="35"/>
      <c r="E518" s="35"/>
    </row>
    <row r="519">
      <c r="D519" s="35"/>
      <c r="E519" s="35"/>
    </row>
    <row r="520">
      <c r="D520" s="35"/>
      <c r="E520" s="35"/>
    </row>
    <row r="521">
      <c r="D521" s="35"/>
      <c r="E521" s="35"/>
    </row>
    <row r="522">
      <c r="D522" s="35"/>
      <c r="E522" s="35"/>
    </row>
    <row r="523">
      <c r="D523" s="35"/>
      <c r="E523" s="35"/>
    </row>
    <row r="524">
      <c r="D524" s="35"/>
      <c r="E524" s="35"/>
    </row>
    <row r="525">
      <c r="D525" s="35"/>
      <c r="E525" s="35"/>
    </row>
    <row r="526">
      <c r="D526" s="35"/>
      <c r="E526" s="35"/>
    </row>
    <row r="527">
      <c r="D527" s="35"/>
      <c r="E527" s="35"/>
    </row>
    <row r="528">
      <c r="D528" s="35"/>
      <c r="E528" s="35"/>
    </row>
    <row r="529">
      <c r="D529" s="35"/>
      <c r="E529" s="35"/>
    </row>
    <row r="530">
      <c r="D530" s="35"/>
      <c r="E530" s="35"/>
    </row>
    <row r="531">
      <c r="D531" s="35"/>
      <c r="E531" s="35"/>
    </row>
    <row r="532">
      <c r="D532" s="35"/>
      <c r="E532" s="35"/>
    </row>
    <row r="533">
      <c r="D533" s="35"/>
      <c r="E533" s="35"/>
    </row>
    <row r="534">
      <c r="D534" s="35"/>
      <c r="E534" s="35"/>
    </row>
    <row r="535">
      <c r="D535" s="35"/>
      <c r="E535" s="35"/>
    </row>
    <row r="536">
      <c r="D536" s="35"/>
      <c r="E536" s="35"/>
    </row>
    <row r="537">
      <c r="D537" s="35"/>
      <c r="E537" s="35"/>
    </row>
    <row r="538">
      <c r="D538" s="35"/>
      <c r="E538" s="35"/>
    </row>
    <row r="539">
      <c r="D539" s="35"/>
      <c r="E539" s="35"/>
    </row>
    <row r="540">
      <c r="D540" s="35"/>
      <c r="E540" s="35"/>
    </row>
    <row r="541">
      <c r="D541" s="35"/>
      <c r="E541" s="35"/>
    </row>
    <row r="542">
      <c r="D542" s="35"/>
      <c r="E542" s="35"/>
    </row>
    <row r="543">
      <c r="D543" s="35"/>
      <c r="E543" s="35"/>
    </row>
    <row r="544">
      <c r="D544" s="35"/>
      <c r="E544" s="35"/>
    </row>
    <row r="545">
      <c r="D545" s="35"/>
      <c r="E545" s="35"/>
    </row>
    <row r="546">
      <c r="D546" s="35"/>
      <c r="E546" s="35"/>
    </row>
    <row r="547">
      <c r="D547" s="35"/>
      <c r="E547" s="35"/>
    </row>
    <row r="548">
      <c r="D548" s="35"/>
      <c r="E548" s="35"/>
    </row>
    <row r="549">
      <c r="D549" s="35"/>
      <c r="E549" s="35"/>
    </row>
    <row r="550">
      <c r="D550" s="35"/>
      <c r="E550" s="35"/>
    </row>
    <row r="551">
      <c r="D551" s="35"/>
      <c r="E551" s="35"/>
    </row>
    <row r="552">
      <c r="D552" s="35"/>
      <c r="E552" s="35"/>
    </row>
    <row r="553">
      <c r="D553" s="35"/>
      <c r="E553" s="35"/>
    </row>
    <row r="554">
      <c r="D554" s="35"/>
      <c r="E554" s="35"/>
    </row>
    <row r="555">
      <c r="D555" s="35"/>
      <c r="E555" s="35"/>
    </row>
    <row r="556">
      <c r="D556" s="35"/>
      <c r="E556" s="35"/>
    </row>
    <row r="557">
      <c r="D557" s="35"/>
      <c r="E557" s="35"/>
    </row>
    <row r="558">
      <c r="D558" s="35"/>
      <c r="E558" s="35"/>
    </row>
    <row r="559">
      <c r="D559" s="35"/>
      <c r="E559" s="35"/>
    </row>
    <row r="560">
      <c r="D560" s="35"/>
      <c r="E560" s="35"/>
    </row>
    <row r="561">
      <c r="D561" s="35"/>
      <c r="E561" s="35"/>
    </row>
    <row r="562">
      <c r="D562" s="35"/>
      <c r="E562" s="35"/>
    </row>
    <row r="563">
      <c r="D563" s="35"/>
      <c r="E563" s="35"/>
    </row>
    <row r="564">
      <c r="D564" s="35"/>
      <c r="E564" s="35"/>
    </row>
    <row r="565">
      <c r="D565" s="35"/>
      <c r="E565" s="35"/>
    </row>
    <row r="566">
      <c r="D566" s="35"/>
      <c r="E566" s="35"/>
    </row>
    <row r="567">
      <c r="D567" s="35"/>
      <c r="E567" s="35"/>
    </row>
    <row r="568">
      <c r="D568" s="35"/>
      <c r="E568" s="35"/>
    </row>
    <row r="569">
      <c r="D569" s="35"/>
      <c r="E569" s="35"/>
    </row>
    <row r="570">
      <c r="D570" s="35"/>
      <c r="E570" s="35"/>
    </row>
    <row r="571">
      <c r="D571" s="35"/>
      <c r="E571" s="35"/>
    </row>
    <row r="572">
      <c r="D572" s="35"/>
      <c r="E572" s="35"/>
    </row>
    <row r="573">
      <c r="D573" s="35"/>
      <c r="E573" s="35"/>
    </row>
    <row r="574">
      <c r="D574" s="35"/>
      <c r="E574" s="35"/>
    </row>
    <row r="575">
      <c r="D575" s="35"/>
      <c r="E575" s="35"/>
    </row>
    <row r="576">
      <c r="D576" s="35"/>
      <c r="E576" s="35"/>
    </row>
    <row r="577">
      <c r="D577" s="35"/>
      <c r="E577" s="35"/>
    </row>
    <row r="578">
      <c r="D578" s="35"/>
      <c r="E578" s="35"/>
    </row>
    <row r="579">
      <c r="D579" s="35"/>
      <c r="E579" s="35"/>
    </row>
    <row r="580">
      <c r="D580" s="35"/>
      <c r="E580" s="35"/>
    </row>
    <row r="581">
      <c r="D581" s="35"/>
      <c r="E581" s="35"/>
    </row>
    <row r="582">
      <c r="D582" s="35"/>
      <c r="E582" s="35"/>
    </row>
    <row r="583">
      <c r="D583" s="35"/>
      <c r="E583" s="35"/>
    </row>
    <row r="584">
      <c r="D584" s="35"/>
      <c r="E584" s="35"/>
    </row>
    <row r="585">
      <c r="D585" s="35"/>
      <c r="E585" s="35"/>
    </row>
    <row r="586">
      <c r="D586" s="35"/>
      <c r="E586" s="35"/>
    </row>
    <row r="587">
      <c r="D587" s="35"/>
      <c r="E587" s="35"/>
    </row>
    <row r="588">
      <c r="D588" s="35"/>
      <c r="E588" s="35"/>
    </row>
    <row r="589">
      <c r="D589" s="35"/>
      <c r="E589" s="35"/>
    </row>
    <row r="590">
      <c r="D590" s="35"/>
      <c r="E590" s="35"/>
    </row>
    <row r="591">
      <c r="D591" s="35"/>
      <c r="E591" s="35"/>
    </row>
    <row r="592">
      <c r="D592" s="35"/>
      <c r="E592" s="35"/>
    </row>
    <row r="593">
      <c r="D593" s="35"/>
      <c r="E593" s="35"/>
    </row>
    <row r="594">
      <c r="D594" s="35"/>
      <c r="E594" s="35"/>
    </row>
    <row r="595">
      <c r="D595" s="35"/>
      <c r="E595" s="35"/>
    </row>
    <row r="596">
      <c r="D596" s="35"/>
      <c r="E596" s="35"/>
    </row>
    <row r="597">
      <c r="D597" s="35"/>
      <c r="E597" s="35"/>
    </row>
    <row r="598">
      <c r="D598" s="35"/>
      <c r="E598" s="35"/>
    </row>
    <row r="599">
      <c r="D599" s="35"/>
      <c r="E599" s="35"/>
    </row>
    <row r="600">
      <c r="D600" s="35"/>
      <c r="E600" s="35"/>
    </row>
    <row r="601">
      <c r="D601" s="35"/>
      <c r="E601" s="35"/>
    </row>
    <row r="602">
      <c r="D602" s="35"/>
      <c r="E602" s="35"/>
    </row>
    <row r="603">
      <c r="D603" s="35"/>
      <c r="E603" s="35"/>
    </row>
    <row r="604">
      <c r="D604" s="35"/>
      <c r="E604" s="35"/>
    </row>
    <row r="605">
      <c r="D605" s="35"/>
      <c r="E605" s="35"/>
    </row>
    <row r="606">
      <c r="D606" s="35"/>
      <c r="E606" s="35"/>
    </row>
    <row r="607">
      <c r="D607" s="35"/>
      <c r="E607" s="35"/>
    </row>
    <row r="608">
      <c r="D608" s="35"/>
      <c r="E608" s="35"/>
    </row>
    <row r="609">
      <c r="D609" s="35"/>
      <c r="E609" s="35"/>
    </row>
    <row r="610">
      <c r="D610" s="35"/>
      <c r="E610" s="35"/>
    </row>
    <row r="611">
      <c r="D611" s="35"/>
      <c r="E611" s="35"/>
    </row>
    <row r="612">
      <c r="D612" s="35"/>
      <c r="E612" s="35"/>
    </row>
    <row r="613">
      <c r="D613" s="35"/>
      <c r="E613" s="35"/>
    </row>
    <row r="614">
      <c r="D614" s="35"/>
      <c r="E614" s="35"/>
    </row>
    <row r="615">
      <c r="D615" s="35"/>
      <c r="E615" s="35"/>
    </row>
    <row r="616">
      <c r="D616" s="35"/>
      <c r="E616" s="35"/>
    </row>
    <row r="617">
      <c r="D617" s="35"/>
      <c r="E617" s="35"/>
    </row>
    <row r="618">
      <c r="D618" s="35"/>
      <c r="E618" s="35"/>
    </row>
    <row r="619">
      <c r="D619" s="35"/>
      <c r="E619" s="35"/>
    </row>
    <row r="620">
      <c r="D620" s="35"/>
      <c r="E620" s="35"/>
    </row>
    <row r="621">
      <c r="D621" s="35"/>
      <c r="E621" s="35"/>
    </row>
    <row r="622">
      <c r="D622" s="35"/>
      <c r="E622" s="35"/>
    </row>
    <row r="623">
      <c r="D623" s="35"/>
      <c r="E623" s="35"/>
    </row>
    <row r="624">
      <c r="D624" s="35"/>
      <c r="E624" s="35"/>
    </row>
    <row r="625">
      <c r="D625" s="35"/>
      <c r="E625" s="35"/>
    </row>
    <row r="626">
      <c r="D626" s="35"/>
      <c r="E626" s="35"/>
    </row>
    <row r="627">
      <c r="D627" s="35"/>
      <c r="E627" s="35"/>
    </row>
    <row r="628">
      <c r="D628" s="35"/>
      <c r="E628" s="35"/>
    </row>
    <row r="629">
      <c r="D629" s="35"/>
      <c r="E629" s="35"/>
    </row>
    <row r="630">
      <c r="D630" s="35"/>
      <c r="E630" s="35"/>
    </row>
    <row r="631">
      <c r="D631" s="35"/>
      <c r="E631" s="35"/>
    </row>
    <row r="632">
      <c r="D632" s="35"/>
      <c r="E632" s="35"/>
    </row>
    <row r="633">
      <c r="D633" s="35"/>
      <c r="E633" s="35"/>
    </row>
    <row r="634">
      <c r="D634" s="35"/>
      <c r="E634" s="35"/>
    </row>
    <row r="635">
      <c r="D635" s="35"/>
      <c r="E635" s="35"/>
    </row>
    <row r="636">
      <c r="D636" s="35"/>
      <c r="E636" s="35"/>
    </row>
    <row r="637">
      <c r="D637" s="35"/>
      <c r="E637" s="35"/>
    </row>
    <row r="638">
      <c r="D638" s="35"/>
      <c r="E638" s="35"/>
    </row>
    <row r="639">
      <c r="D639" s="35"/>
      <c r="E639" s="35"/>
    </row>
    <row r="640">
      <c r="D640" s="35"/>
      <c r="E640" s="35"/>
    </row>
    <row r="641">
      <c r="D641" s="35"/>
      <c r="E641" s="35"/>
    </row>
    <row r="642">
      <c r="D642" s="35"/>
      <c r="E642" s="35"/>
    </row>
    <row r="643">
      <c r="D643" s="35"/>
      <c r="E643" s="35"/>
    </row>
    <row r="644">
      <c r="D644" s="35"/>
      <c r="E644" s="35"/>
    </row>
    <row r="645">
      <c r="D645" s="35"/>
      <c r="E645" s="35"/>
    </row>
    <row r="646">
      <c r="D646" s="35"/>
      <c r="E646" s="35"/>
    </row>
    <row r="647">
      <c r="D647" s="35"/>
      <c r="E647" s="35"/>
    </row>
    <row r="648">
      <c r="D648" s="35"/>
      <c r="E648" s="35"/>
    </row>
    <row r="649">
      <c r="D649" s="35"/>
      <c r="E649" s="35"/>
    </row>
    <row r="650">
      <c r="D650" s="35"/>
      <c r="E650" s="35"/>
    </row>
    <row r="651">
      <c r="D651" s="35"/>
      <c r="E651" s="35"/>
    </row>
    <row r="652">
      <c r="D652" s="35"/>
      <c r="E652" s="35"/>
    </row>
    <row r="653">
      <c r="D653" s="35"/>
      <c r="E653" s="35"/>
    </row>
    <row r="654">
      <c r="D654" s="35"/>
      <c r="E654" s="35"/>
    </row>
    <row r="655">
      <c r="D655" s="35"/>
      <c r="E655" s="35"/>
    </row>
    <row r="656">
      <c r="D656" s="35"/>
      <c r="E656" s="35"/>
    </row>
    <row r="657">
      <c r="D657" s="35"/>
      <c r="E657" s="35"/>
    </row>
    <row r="658">
      <c r="D658" s="35"/>
      <c r="E658" s="35"/>
    </row>
    <row r="659">
      <c r="D659" s="35"/>
      <c r="E659" s="35"/>
    </row>
    <row r="660">
      <c r="D660" s="35"/>
      <c r="E660" s="35"/>
    </row>
    <row r="661">
      <c r="D661" s="35"/>
      <c r="E661" s="35"/>
    </row>
    <row r="662">
      <c r="D662" s="35"/>
      <c r="E662" s="35"/>
    </row>
    <row r="663">
      <c r="D663" s="35"/>
      <c r="E663" s="35"/>
    </row>
    <row r="664">
      <c r="D664" s="35"/>
      <c r="E664" s="35"/>
    </row>
    <row r="665">
      <c r="D665" s="35"/>
      <c r="E665" s="35"/>
    </row>
    <row r="666">
      <c r="D666" s="35"/>
      <c r="E666" s="35"/>
    </row>
    <row r="667">
      <c r="D667" s="35"/>
      <c r="E667" s="35"/>
    </row>
    <row r="668">
      <c r="D668" s="35"/>
      <c r="E668" s="35"/>
    </row>
    <row r="669">
      <c r="D669" s="35"/>
      <c r="E669" s="35"/>
    </row>
    <row r="670">
      <c r="D670" s="35"/>
      <c r="E670" s="35"/>
    </row>
    <row r="671">
      <c r="D671" s="35"/>
      <c r="E671" s="35"/>
    </row>
    <row r="672">
      <c r="D672" s="35"/>
      <c r="E672" s="35"/>
    </row>
    <row r="673">
      <c r="D673" s="35"/>
      <c r="E673" s="35"/>
    </row>
    <row r="674">
      <c r="D674" s="35"/>
      <c r="E674" s="35"/>
    </row>
    <row r="675">
      <c r="D675" s="35"/>
      <c r="E675" s="35"/>
    </row>
    <row r="676">
      <c r="D676" s="35"/>
      <c r="E676" s="35"/>
    </row>
    <row r="677">
      <c r="D677" s="35"/>
      <c r="E677" s="35"/>
    </row>
    <row r="678">
      <c r="D678" s="35"/>
      <c r="E678" s="35"/>
    </row>
    <row r="679">
      <c r="D679" s="35"/>
      <c r="E679" s="35"/>
    </row>
    <row r="680">
      <c r="D680" s="35"/>
      <c r="E680" s="35"/>
    </row>
    <row r="681">
      <c r="D681" s="35"/>
      <c r="E681" s="35"/>
    </row>
    <row r="682">
      <c r="D682" s="35"/>
      <c r="E682" s="35"/>
    </row>
    <row r="683">
      <c r="D683" s="35"/>
      <c r="E683" s="35"/>
    </row>
    <row r="684">
      <c r="D684" s="35"/>
      <c r="E684" s="35"/>
    </row>
    <row r="685">
      <c r="D685" s="35"/>
      <c r="E685" s="35"/>
    </row>
    <row r="686">
      <c r="D686" s="35"/>
      <c r="E686" s="35"/>
    </row>
    <row r="687">
      <c r="D687" s="35"/>
      <c r="E687" s="35"/>
    </row>
    <row r="688">
      <c r="D688" s="35"/>
      <c r="E688" s="35"/>
    </row>
    <row r="689">
      <c r="D689" s="35"/>
      <c r="E689" s="35"/>
    </row>
    <row r="690">
      <c r="D690" s="35"/>
      <c r="E690" s="35"/>
    </row>
    <row r="691">
      <c r="D691" s="35"/>
      <c r="E691" s="35"/>
    </row>
    <row r="692">
      <c r="D692" s="35"/>
      <c r="E692" s="35"/>
    </row>
    <row r="693">
      <c r="D693" s="35"/>
      <c r="E693" s="35"/>
    </row>
    <row r="694">
      <c r="D694" s="35"/>
      <c r="E694" s="35"/>
    </row>
    <row r="695">
      <c r="D695" s="35"/>
      <c r="E695" s="35"/>
    </row>
    <row r="696">
      <c r="D696" s="35"/>
      <c r="E696" s="35"/>
    </row>
    <row r="697">
      <c r="D697" s="35"/>
      <c r="E697" s="35"/>
    </row>
    <row r="698">
      <c r="D698" s="35"/>
      <c r="E698" s="35"/>
    </row>
    <row r="699">
      <c r="D699" s="35"/>
      <c r="E699" s="35"/>
    </row>
    <row r="700">
      <c r="D700" s="35"/>
      <c r="E700" s="35"/>
    </row>
    <row r="701">
      <c r="D701" s="35"/>
      <c r="E701" s="35"/>
    </row>
    <row r="702">
      <c r="D702" s="35"/>
      <c r="E702" s="35"/>
    </row>
    <row r="703">
      <c r="D703" s="35"/>
      <c r="E703" s="35"/>
    </row>
    <row r="704">
      <c r="D704" s="35"/>
      <c r="E704" s="35"/>
    </row>
    <row r="705">
      <c r="D705" s="35"/>
      <c r="E705" s="35"/>
    </row>
    <row r="706">
      <c r="D706" s="35"/>
      <c r="E706" s="35"/>
    </row>
    <row r="707">
      <c r="D707" s="35"/>
      <c r="E707" s="35"/>
    </row>
    <row r="708">
      <c r="D708" s="35"/>
      <c r="E708" s="35"/>
    </row>
    <row r="709">
      <c r="D709" s="35"/>
      <c r="E709" s="35"/>
    </row>
    <row r="710">
      <c r="D710" s="35"/>
      <c r="E710" s="35"/>
    </row>
    <row r="711">
      <c r="D711" s="35"/>
      <c r="E711" s="35"/>
    </row>
    <row r="712">
      <c r="D712" s="35"/>
      <c r="E712" s="35"/>
    </row>
    <row r="713">
      <c r="D713" s="35"/>
      <c r="E713" s="35"/>
    </row>
    <row r="714">
      <c r="D714" s="35"/>
      <c r="E714" s="35"/>
    </row>
    <row r="715">
      <c r="D715" s="35"/>
      <c r="E715" s="35"/>
    </row>
    <row r="716">
      <c r="D716" s="35"/>
      <c r="E716" s="35"/>
    </row>
    <row r="717">
      <c r="D717" s="35"/>
      <c r="E717" s="35"/>
    </row>
    <row r="718">
      <c r="D718" s="35"/>
      <c r="E718" s="35"/>
    </row>
    <row r="719">
      <c r="D719" s="35"/>
      <c r="E719" s="35"/>
    </row>
    <row r="720">
      <c r="D720" s="35"/>
      <c r="E720" s="35"/>
    </row>
    <row r="721">
      <c r="D721" s="35"/>
      <c r="E721" s="35"/>
    </row>
    <row r="722">
      <c r="D722" s="35"/>
      <c r="E722" s="35"/>
    </row>
    <row r="723">
      <c r="D723" s="35"/>
      <c r="E723" s="35"/>
    </row>
    <row r="724">
      <c r="D724" s="35"/>
      <c r="E724" s="35"/>
    </row>
    <row r="725">
      <c r="D725" s="35"/>
      <c r="E725" s="35"/>
    </row>
    <row r="726">
      <c r="D726" s="35"/>
      <c r="E726" s="35"/>
    </row>
    <row r="727">
      <c r="D727" s="35"/>
      <c r="E727" s="35"/>
    </row>
    <row r="728">
      <c r="D728" s="35"/>
      <c r="E728" s="35"/>
    </row>
    <row r="729">
      <c r="D729" s="35"/>
      <c r="E729" s="35"/>
    </row>
    <row r="730">
      <c r="D730" s="35"/>
      <c r="E730" s="35"/>
    </row>
    <row r="731">
      <c r="D731" s="35"/>
      <c r="E731" s="35"/>
    </row>
    <row r="732">
      <c r="D732" s="35"/>
      <c r="E732" s="35"/>
    </row>
    <row r="733">
      <c r="D733" s="35"/>
      <c r="E733" s="35"/>
    </row>
    <row r="734">
      <c r="D734" s="35"/>
      <c r="E734" s="35"/>
    </row>
    <row r="735">
      <c r="D735" s="35"/>
      <c r="E735" s="35"/>
    </row>
    <row r="736">
      <c r="D736" s="35"/>
      <c r="E736" s="35"/>
    </row>
    <row r="737">
      <c r="D737" s="35"/>
      <c r="E737" s="35"/>
    </row>
    <row r="738">
      <c r="D738" s="35"/>
      <c r="E738" s="35"/>
    </row>
    <row r="739">
      <c r="D739" s="35"/>
      <c r="E739" s="35"/>
    </row>
    <row r="740">
      <c r="D740" s="35"/>
      <c r="E740" s="35"/>
    </row>
    <row r="741">
      <c r="D741" s="35"/>
      <c r="E741" s="35"/>
    </row>
    <row r="742">
      <c r="D742" s="35"/>
      <c r="E742" s="35"/>
    </row>
    <row r="743">
      <c r="D743" s="35"/>
      <c r="E743" s="35"/>
    </row>
    <row r="744">
      <c r="D744" s="35"/>
      <c r="E744" s="35"/>
    </row>
    <row r="745">
      <c r="D745" s="35"/>
      <c r="E745" s="35"/>
    </row>
    <row r="746">
      <c r="D746" s="35"/>
      <c r="E746" s="35"/>
    </row>
    <row r="747">
      <c r="D747" s="35"/>
      <c r="E747" s="35"/>
    </row>
    <row r="748">
      <c r="D748" s="35"/>
      <c r="E748" s="35"/>
    </row>
    <row r="749">
      <c r="D749" s="35"/>
      <c r="E749" s="35"/>
    </row>
    <row r="750">
      <c r="D750" s="35"/>
      <c r="E750" s="35"/>
    </row>
    <row r="751">
      <c r="D751" s="35"/>
      <c r="E751" s="35"/>
    </row>
    <row r="752">
      <c r="D752" s="35"/>
      <c r="E752" s="35"/>
    </row>
    <row r="753">
      <c r="D753" s="35"/>
      <c r="E753" s="35"/>
    </row>
    <row r="754">
      <c r="D754" s="35"/>
      <c r="E754" s="35"/>
    </row>
    <row r="755">
      <c r="D755" s="35"/>
      <c r="E755" s="35"/>
    </row>
    <row r="756">
      <c r="D756" s="35"/>
      <c r="E756" s="35"/>
    </row>
    <row r="757">
      <c r="D757" s="35"/>
      <c r="E757" s="35"/>
    </row>
    <row r="758">
      <c r="D758" s="35"/>
      <c r="E758" s="35"/>
    </row>
    <row r="759">
      <c r="D759" s="35"/>
      <c r="E759" s="35"/>
    </row>
    <row r="760">
      <c r="D760" s="35"/>
      <c r="E760" s="35"/>
    </row>
    <row r="761">
      <c r="D761" s="35"/>
      <c r="E761" s="35"/>
    </row>
    <row r="762">
      <c r="D762" s="35"/>
      <c r="E762" s="35"/>
    </row>
    <row r="763">
      <c r="D763" s="35"/>
      <c r="E763" s="35"/>
    </row>
    <row r="764">
      <c r="D764" s="35"/>
      <c r="E764" s="35"/>
    </row>
    <row r="765">
      <c r="D765" s="35"/>
      <c r="E765" s="35"/>
    </row>
    <row r="766">
      <c r="D766" s="35"/>
      <c r="E766" s="35"/>
    </row>
    <row r="767">
      <c r="D767" s="35"/>
      <c r="E767" s="35"/>
    </row>
    <row r="768">
      <c r="D768" s="35"/>
      <c r="E768" s="35"/>
    </row>
    <row r="769">
      <c r="D769" s="35"/>
      <c r="E769" s="35"/>
    </row>
    <row r="770">
      <c r="D770" s="35"/>
      <c r="E770" s="35"/>
    </row>
    <row r="771">
      <c r="D771" s="35"/>
      <c r="E771" s="35"/>
    </row>
    <row r="772">
      <c r="D772" s="35"/>
      <c r="E772" s="35"/>
    </row>
    <row r="773">
      <c r="D773" s="35"/>
      <c r="E773" s="35"/>
    </row>
    <row r="774">
      <c r="D774" s="35"/>
      <c r="E774" s="35"/>
    </row>
    <row r="775">
      <c r="D775" s="35"/>
      <c r="E775" s="35"/>
    </row>
    <row r="776">
      <c r="D776" s="35"/>
      <c r="E776" s="35"/>
    </row>
    <row r="777">
      <c r="D777" s="35"/>
      <c r="E777" s="35"/>
    </row>
    <row r="778">
      <c r="D778" s="35"/>
      <c r="E778" s="35"/>
    </row>
    <row r="779">
      <c r="D779" s="35"/>
      <c r="E779" s="35"/>
    </row>
    <row r="780">
      <c r="D780" s="35"/>
      <c r="E780" s="35"/>
    </row>
    <row r="781">
      <c r="D781" s="35"/>
      <c r="E781" s="35"/>
    </row>
    <row r="782">
      <c r="D782" s="35"/>
      <c r="E782" s="35"/>
    </row>
    <row r="783">
      <c r="D783" s="35"/>
      <c r="E783" s="35"/>
    </row>
    <row r="784">
      <c r="D784" s="35"/>
      <c r="E784" s="35"/>
    </row>
    <row r="785">
      <c r="D785" s="35"/>
      <c r="E785" s="35"/>
    </row>
    <row r="786">
      <c r="D786" s="35"/>
      <c r="E786" s="35"/>
    </row>
    <row r="787">
      <c r="D787" s="35"/>
      <c r="E787" s="35"/>
    </row>
    <row r="788">
      <c r="D788" s="35"/>
      <c r="E788" s="35"/>
    </row>
    <row r="789">
      <c r="D789" s="35"/>
      <c r="E789" s="35"/>
    </row>
    <row r="790">
      <c r="D790" s="35"/>
      <c r="E790" s="35"/>
    </row>
    <row r="791">
      <c r="D791" s="35"/>
      <c r="E791" s="35"/>
    </row>
    <row r="792">
      <c r="D792" s="35"/>
      <c r="E792" s="35"/>
    </row>
    <row r="793">
      <c r="D793" s="35"/>
      <c r="E793" s="35"/>
    </row>
    <row r="794">
      <c r="D794" s="35"/>
      <c r="E794" s="35"/>
    </row>
    <row r="795">
      <c r="D795" s="35"/>
      <c r="E795" s="35"/>
    </row>
    <row r="796">
      <c r="D796" s="35"/>
      <c r="E796" s="35"/>
    </row>
    <row r="797">
      <c r="D797" s="35"/>
      <c r="E797" s="35"/>
    </row>
    <row r="798">
      <c r="D798" s="35"/>
      <c r="E798" s="35"/>
    </row>
    <row r="799">
      <c r="D799" s="35"/>
      <c r="E799" s="35"/>
    </row>
    <row r="800">
      <c r="D800" s="35"/>
      <c r="E800" s="35"/>
    </row>
    <row r="801">
      <c r="D801" s="35"/>
      <c r="E801" s="35"/>
    </row>
    <row r="802">
      <c r="D802" s="35"/>
      <c r="E802" s="35"/>
    </row>
    <row r="803">
      <c r="D803" s="35"/>
      <c r="E803" s="35"/>
    </row>
    <row r="804">
      <c r="D804" s="35"/>
      <c r="E804" s="35"/>
    </row>
    <row r="805">
      <c r="D805" s="35"/>
      <c r="E805" s="35"/>
    </row>
    <row r="806">
      <c r="D806" s="35"/>
      <c r="E806" s="35"/>
    </row>
    <row r="807">
      <c r="D807" s="35"/>
      <c r="E807" s="35"/>
    </row>
    <row r="808">
      <c r="D808" s="35"/>
      <c r="E808" s="35"/>
    </row>
    <row r="809">
      <c r="D809" s="35"/>
      <c r="E809" s="35"/>
    </row>
    <row r="810">
      <c r="D810" s="35"/>
      <c r="E810" s="35"/>
    </row>
    <row r="811">
      <c r="D811" s="35"/>
      <c r="E811" s="35"/>
    </row>
    <row r="812">
      <c r="D812" s="35"/>
      <c r="E812" s="35"/>
    </row>
    <row r="813">
      <c r="D813" s="35"/>
      <c r="E813" s="35"/>
    </row>
    <row r="814">
      <c r="D814" s="35"/>
      <c r="E814" s="35"/>
    </row>
    <row r="815">
      <c r="D815" s="35"/>
      <c r="E815" s="35"/>
    </row>
    <row r="816">
      <c r="D816" s="35"/>
      <c r="E816" s="35"/>
    </row>
    <row r="817">
      <c r="D817" s="35"/>
      <c r="E817" s="35"/>
    </row>
    <row r="818">
      <c r="D818" s="35"/>
      <c r="E818" s="35"/>
    </row>
    <row r="819">
      <c r="D819" s="35"/>
      <c r="E819" s="35"/>
    </row>
    <row r="820">
      <c r="D820" s="35"/>
      <c r="E820" s="35"/>
    </row>
    <row r="821">
      <c r="D821" s="35"/>
      <c r="E821" s="35"/>
    </row>
    <row r="822">
      <c r="D822" s="35"/>
      <c r="E822" s="35"/>
    </row>
    <row r="823">
      <c r="D823" s="35"/>
      <c r="E823" s="35"/>
    </row>
    <row r="824">
      <c r="D824" s="35"/>
      <c r="E824" s="35"/>
    </row>
    <row r="825">
      <c r="D825" s="35"/>
      <c r="E825" s="35"/>
    </row>
    <row r="826">
      <c r="D826" s="35"/>
      <c r="E826" s="35"/>
    </row>
    <row r="827">
      <c r="D827" s="35"/>
      <c r="E827" s="35"/>
    </row>
    <row r="828">
      <c r="D828" s="35"/>
      <c r="E828" s="35"/>
    </row>
    <row r="829">
      <c r="D829" s="35"/>
      <c r="E829" s="35"/>
    </row>
    <row r="830">
      <c r="D830" s="35"/>
      <c r="E830" s="35"/>
    </row>
    <row r="831">
      <c r="D831" s="35"/>
      <c r="E831" s="35"/>
    </row>
    <row r="832">
      <c r="D832" s="35"/>
      <c r="E832" s="35"/>
    </row>
    <row r="833">
      <c r="D833" s="35"/>
      <c r="E833" s="35"/>
    </row>
    <row r="834">
      <c r="D834" s="35"/>
      <c r="E834" s="35"/>
    </row>
    <row r="835">
      <c r="D835" s="35"/>
      <c r="E835" s="35"/>
    </row>
    <row r="836">
      <c r="D836" s="35"/>
      <c r="E836" s="35"/>
    </row>
    <row r="837">
      <c r="D837" s="35"/>
      <c r="E837" s="35"/>
    </row>
    <row r="838">
      <c r="D838" s="35"/>
      <c r="E838" s="35"/>
    </row>
    <row r="839">
      <c r="D839" s="35"/>
      <c r="E839" s="35"/>
    </row>
    <row r="840">
      <c r="D840" s="35"/>
      <c r="E840" s="35"/>
    </row>
    <row r="841">
      <c r="D841" s="35"/>
      <c r="E841" s="35"/>
    </row>
    <row r="842">
      <c r="D842" s="35"/>
      <c r="E842" s="35"/>
    </row>
    <row r="843">
      <c r="D843" s="35"/>
      <c r="E843" s="35"/>
    </row>
    <row r="844">
      <c r="D844" s="35"/>
      <c r="E844" s="35"/>
    </row>
    <row r="845">
      <c r="D845" s="35"/>
      <c r="E845" s="35"/>
    </row>
    <row r="846">
      <c r="D846" s="35"/>
      <c r="E846" s="35"/>
    </row>
    <row r="847">
      <c r="D847" s="35"/>
      <c r="E847" s="35"/>
    </row>
    <row r="848">
      <c r="D848" s="35"/>
      <c r="E848" s="35"/>
    </row>
    <row r="849">
      <c r="D849" s="35"/>
      <c r="E849" s="35"/>
    </row>
    <row r="850">
      <c r="D850" s="35"/>
      <c r="E850" s="35"/>
    </row>
    <row r="851">
      <c r="D851" s="35"/>
      <c r="E851" s="35"/>
    </row>
    <row r="852">
      <c r="D852" s="35"/>
      <c r="E852" s="35"/>
    </row>
    <row r="853">
      <c r="D853" s="35"/>
      <c r="E853" s="35"/>
    </row>
    <row r="854">
      <c r="D854" s="35"/>
      <c r="E854" s="35"/>
    </row>
    <row r="855">
      <c r="D855" s="35"/>
      <c r="E855" s="35"/>
    </row>
    <row r="856">
      <c r="D856" s="35"/>
      <c r="E856" s="35"/>
    </row>
    <row r="857">
      <c r="D857" s="35"/>
      <c r="E857" s="35"/>
    </row>
    <row r="858">
      <c r="D858" s="35"/>
      <c r="E858" s="35"/>
    </row>
    <row r="859">
      <c r="D859" s="35"/>
      <c r="E859" s="35"/>
    </row>
    <row r="860">
      <c r="D860" s="35"/>
      <c r="E860" s="35"/>
    </row>
    <row r="861">
      <c r="D861" s="35"/>
      <c r="E861" s="35"/>
    </row>
    <row r="862">
      <c r="D862" s="35"/>
      <c r="E862" s="35"/>
    </row>
    <row r="863">
      <c r="D863" s="35"/>
      <c r="E863" s="35"/>
    </row>
    <row r="864">
      <c r="D864" s="35"/>
      <c r="E864" s="35"/>
    </row>
    <row r="865">
      <c r="D865" s="35"/>
      <c r="E865" s="35"/>
    </row>
    <row r="866">
      <c r="D866" s="35"/>
      <c r="E866" s="35"/>
    </row>
    <row r="867">
      <c r="D867" s="35"/>
      <c r="E867" s="35"/>
    </row>
    <row r="868">
      <c r="D868" s="35"/>
      <c r="E868" s="35"/>
    </row>
    <row r="869">
      <c r="D869" s="35"/>
      <c r="E869" s="35"/>
    </row>
    <row r="870">
      <c r="D870" s="35"/>
      <c r="E870" s="35"/>
    </row>
    <row r="871">
      <c r="D871" s="35"/>
      <c r="E871" s="35"/>
    </row>
    <row r="872">
      <c r="D872" s="35"/>
      <c r="E872" s="35"/>
    </row>
    <row r="873">
      <c r="D873" s="35"/>
      <c r="E873" s="35"/>
    </row>
    <row r="874">
      <c r="D874" s="35"/>
      <c r="E874" s="35"/>
    </row>
    <row r="875">
      <c r="D875" s="35"/>
      <c r="E875" s="35"/>
    </row>
    <row r="876">
      <c r="D876" s="35"/>
      <c r="E876" s="35"/>
    </row>
    <row r="877">
      <c r="D877" s="35"/>
      <c r="E877" s="35"/>
    </row>
    <row r="878">
      <c r="D878" s="35"/>
      <c r="E878" s="35"/>
    </row>
    <row r="879">
      <c r="D879" s="35"/>
      <c r="E879" s="35"/>
    </row>
    <row r="880">
      <c r="D880" s="35"/>
      <c r="E880" s="35"/>
    </row>
    <row r="881">
      <c r="D881" s="35"/>
      <c r="E881" s="35"/>
    </row>
    <row r="882">
      <c r="D882" s="35"/>
      <c r="E882" s="35"/>
    </row>
    <row r="883">
      <c r="D883" s="35"/>
      <c r="E883" s="35"/>
    </row>
    <row r="884">
      <c r="D884" s="35"/>
      <c r="E884" s="35"/>
    </row>
    <row r="885">
      <c r="D885" s="35"/>
      <c r="E885" s="35"/>
    </row>
    <row r="886">
      <c r="D886" s="35"/>
      <c r="E886" s="35"/>
    </row>
    <row r="887">
      <c r="D887" s="35"/>
      <c r="E887" s="35"/>
    </row>
    <row r="888">
      <c r="D888" s="35"/>
      <c r="E888" s="35"/>
    </row>
    <row r="889">
      <c r="D889" s="35"/>
      <c r="E889" s="35"/>
    </row>
    <row r="890">
      <c r="D890" s="35"/>
      <c r="E890" s="35"/>
    </row>
    <row r="891">
      <c r="D891" s="35"/>
      <c r="E891" s="35"/>
    </row>
    <row r="892">
      <c r="D892" s="35"/>
      <c r="E892" s="35"/>
    </row>
    <row r="893">
      <c r="D893" s="35"/>
      <c r="E893" s="35"/>
    </row>
    <row r="894">
      <c r="D894" s="35"/>
      <c r="E894" s="35"/>
    </row>
    <row r="895">
      <c r="D895" s="35"/>
      <c r="E895" s="35"/>
    </row>
    <row r="896">
      <c r="D896" s="35"/>
      <c r="E896" s="35"/>
    </row>
    <row r="897">
      <c r="D897" s="35"/>
      <c r="E897" s="35"/>
    </row>
    <row r="898">
      <c r="D898" s="35"/>
      <c r="E898" s="35"/>
    </row>
    <row r="899">
      <c r="D899" s="35"/>
      <c r="E899" s="35"/>
    </row>
    <row r="900">
      <c r="D900" s="35"/>
      <c r="E900" s="35"/>
    </row>
    <row r="901">
      <c r="D901" s="35"/>
      <c r="E901" s="35"/>
    </row>
    <row r="902">
      <c r="D902" s="35"/>
      <c r="E902" s="35"/>
    </row>
    <row r="903">
      <c r="D903" s="35"/>
      <c r="E903" s="35"/>
    </row>
    <row r="904">
      <c r="D904" s="35"/>
      <c r="E904" s="35"/>
    </row>
    <row r="905">
      <c r="D905" s="35"/>
      <c r="E905" s="35"/>
    </row>
    <row r="906">
      <c r="D906" s="35"/>
      <c r="E906" s="35"/>
    </row>
    <row r="907">
      <c r="D907" s="35"/>
      <c r="E907" s="35"/>
    </row>
    <row r="908">
      <c r="D908" s="35"/>
      <c r="E908" s="35"/>
    </row>
    <row r="909">
      <c r="D909" s="35"/>
      <c r="E909" s="35"/>
    </row>
    <row r="910">
      <c r="D910" s="35"/>
      <c r="E910" s="35"/>
    </row>
    <row r="911">
      <c r="D911" s="35"/>
      <c r="E911" s="35"/>
    </row>
    <row r="912">
      <c r="D912" s="35"/>
      <c r="E912" s="35"/>
    </row>
    <row r="913">
      <c r="D913" s="35"/>
      <c r="E913" s="35"/>
    </row>
    <row r="914">
      <c r="D914" s="35"/>
      <c r="E914" s="35"/>
    </row>
    <row r="915">
      <c r="D915" s="35"/>
      <c r="E915" s="35"/>
    </row>
    <row r="916">
      <c r="D916" s="35"/>
      <c r="E916" s="35"/>
    </row>
    <row r="917">
      <c r="D917" s="35"/>
      <c r="E917" s="35"/>
    </row>
    <row r="918">
      <c r="D918" s="35"/>
      <c r="E918" s="35"/>
    </row>
    <row r="919">
      <c r="D919" s="35"/>
      <c r="E919" s="35"/>
    </row>
    <row r="920">
      <c r="D920" s="35"/>
      <c r="E920" s="35"/>
    </row>
    <row r="921">
      <c r="D921" s="35"/>
      <c r="E921" s="35"/>
    </row>
    <row r="922">
      <c r="D922" s="35"/>
      <c r="E922" s="35"/>
    </row>
    <row r="923">
      <c r="D923" s="35"/>
      <c r="E923" s="35"/>
    </row>
    <row r="924">
      <c r="D924" s="35"/>
      <c r="E924" s="35"/>
    </row>
    <row r="925">
      <c r="D925" s="35"/>
      <c r="E925" s="35"/>
    </row>
    <row r="926">
      <c r="D926" s="35"/>
      <c r="E926" s="35"/>
    </row>
    <row r="927">
      <c r="D927" s="35"/>
      <c r="E927" s="35"/>
    </row>
    <row r="928">
      <c r="D928" s="35"/>
      <c r="E928" s="35"/>
    </row>
    <row r="929">
      <c r="D929" s="35"/>
      <c r="E929" s="35"/>
    </row>
    <row r="930">
      <c r="D930" s="35"/>
      <c r="E930" s="35"/>
    </row>
    <row r="931">
      <c r="D931" s="35"/>
      <c r="E931" s="35"/>
    </row>
    <row r="932">
      <c r="D932" s="35"/>
      <c r="E932" s="35"/>
    </row>
    <row r="933">
      <c r="D933" s="35"/>
      <c r="E933" s="35"/>
    </row>
    <row r="934">
      <c r="D934" s="35"/>
      <c r="E934" s="35"/>
    </row>
    <row r="935">
      <c r="D935" s="35"/>
      <c r="E935" s="35"/>
    </row>
    <row r="936">
      <c r="D936" s="35"/>
      <c r="E936" s="35"/>
    </row>
    <row r="937">
      <c r="D937" s="35"/>
      <c r="E937" s="35"/>
    </row>
    <row r="938">
      <c r="D938" s="35"/>
      <c r="E938" s="35"/>
    </row>
    <row r="939">
      <c r="D939" s="35"/>
      <c r="E939" s="35"/>
    </row>
    <row r="940">
      <c r="D940" s="35"/>
      <c r="E940" s="35"/>
    </row>
    <row r="941">
      <c r="D941" s="35"/>
      <c r="E941" s="35"/>
    </row>
    <row r="942">
      <c r="D942" s="35"/>
      <c r="E942" s="35"/>
    </row>
    <row r="943">
      <c r="D943" s="35"/>
      <c r="E943" s="35"/>
    </row>
    <row r="944">
      <c r="D944" s="35"/>
      <c r="E944" s="35"/>
    </row>
    <row r="945">
      <c r="D945" s="35"/>
      <c r="E945" s="35"/>
    </row>
    <row r="946">
      <c r="D946" s="35"/>
      <c r="E946" s="35"/>
    </row>
    <row r="947">
      <c r="D947" s="35"/>
      <c r="E947" s="35"/>
    </row>
    <row r="948">
      <c r="D948" s="35"/>
      <c r="E948" s="35"/>
    </row>
    <row r="949">
      <c r="D949" s="35"/>
      <c r="E949" s="35"/>
    </row>
    <row r="950">
      <c r="D950" s="35"/>
      <c r="E950" s="35"/>
    </row>
    <row r="951">
      <c r="D951" s="35"/>
      <c r="E951" s="35"/>
    </row>
    <row r="952">
      <c r="D952" s="35"/>
      <c r="E952" s="35"/>
    </row>
    <row r="953">
      <c r="D953" s="35"/>
      <c r="E953" s="35"/>
    </row>
    <row r="954">
      <c r="D954" s="35"/>
      <c r="E954" s="35"/>
    </row>
    <row r="955">
      <c r="D955" s="35"/>
      <c r="E955" s="35"/>
    </row>
    <row r="956">
      <c r="D956" s="35"/>
      <c r="E956" s="35"/>
    </row>
    <row r="957">
      <c r="D957" s="35"/>
      <c r="E957" s="35"/>
    </row>
    <row r="958">
      <c r="D958" s="35"/>
      <c r="E958" s="35"/>
    </row>
    <row r="959">
      <c r="D959" s="35"/>
      <c r="E959" s="35"/>
    </row>
    <row r="960">
      <c r="D960" s="35"/>
      <c r="E960" s="35"/>
    </row>
    <row r="961">
      <c r="D961" s="35"/>
      <c r="E961" s="35"/>
    </row>
    <row r="962">
      <c r="D962" s="35"/>
      <c r="E962" s="35"/>
    </row>
    <row r="963">
      <c r="D963" s="35"/>
      <c r="E963" s="35"/>
    </row>
    <row r="964">
      <c r="D964" s="35"/>
      <c r="E964" s="35"/>
    </row>
    <row r="965">
      <c r="D965" s="35"/>
      <c r="E965" s="35"/>
    </row>
    <row r="966">
      <c r="D966" s="35"/>
      <c r="E966" s="35"/>
    </row>
    <row r="967">
      <c r="D967" s="35"/>
      <c r="E967" s="35"/>
    </row>
    <row r="968">
      <c r="D968" s="35"/>
      <c r="E968" s="35"/>
    </row>
    <row r="969">
      <c r="D969" s="35"/>
      <c r="E969" s="35"/>
    </row>
    <row r="970">
      <c r="D970" s="35"/>
      <c r="E970" s="35"/>
    </row>
    <row r="971">
      <c r="D971" s="35"/>
      <c r="E971" s="35"/>
    </row>
    <row r="972">
      <c r="D972" s="35"/>
      <c r="E972" s="35"/>
    </row>
    <row r="973">
      <c r="D973" s="35"/>
      <c r="E973" s="35"/>
    </row>
    <row r="974">
      <c r="D974" s="35"/>
      <c r="E974" s="35"/>
    </row>
    <row r="975">
      <c r="D975" s="35"/>
      <c r="E975" s="35"/>
    </row>
    <row r="976">
      <c r="D976" s="35"/>
      <c r="E976" s="35"/>
    </row>
    <row r="977">
      <c r="D977" s="35"/>
      <c r="E977" s="35"/>
    </row>
    <row r="978">
      <c r="D978" s="35"/>
      <c r="E978" s="35"/>
    </row>
    <row r="979">
      <c r="D979" s="35"/>
      <c r="E979" s="35"/>
    </row>
    <row r="980">
      <c r="D980" s="35"/>
      <c r="E980" s="35"/>
    </row>
    <row r="981">
      <c r="D981" s="35"/>
      <c r="E981" s="35"/>
    </row>
    <row r="982">
      <c r="D982" s="35"/>
      <c r="E982" s="35"/>
    </row>
    <row r="983">
      <c r="D983" s="35"/>
      <c r="E983" s="35"/>
    </row>
    <row r="984">
      <c r="D984" s="35"/>
      <c r="E984" s="35"/>
    </row>
    <row r="985">
      <c r="D985" s="35"/>
      <c r="E985" s="35"/>
    </row>
    <row r="986">
      <c r="D986" s="35"/>
      <c r="E986" s="35"/>
    </row>
    <row r="987">
      <c r="D987" s="35"/>
      <c r="E987" s="35"/>
    </row>
    <row r="988">
      <c r="D988" s="35"/>
      <c r="E988" s="35"/>
    </row>
    <row r="989">
      <c r="D989" s="35"/>
      <c r="E989" s="35"/>
    </row>
    <row r="990">
      <c r="D990" s="35"/>
      <c r="E990" s="35"/>
    </row>
    <row r="991">
      <c r="D991" s="35"/>
      <c r="E991" s="35"/>
    </row>
    <row r="992">
      <c r="D992" s="35"/>
      <c r="E992" s="35"/>
    </row>
    <row r="993">
      <c r="D993" s="35"/>
      <c r="E993" s="35"/>
    </row>
    <row r="994">
      <c r="D994" s="35"/>
      <c r="E994" s="35"/>
    </row>
    <row r="995">
      <c r="D995" s="35"/>
      <c r="E995" s="35"/>
    </row>
    <row r="996">
      <c r="D996" s="35"/>
      <c r="E996" s="35"/>
    </row>
    <row r="997">
      <c r="D997" s="35"/>
      <c r="E997" s="35"/>
    </row>
    <row r="998">
      <c r="D998" s="35"/>
      <c r="E998" s="35"/>
    </row>
    <row r="999">
      <c r="D999" s="35"/>
      <c r="E999" s="35"/>
    </row>
    <row r="1000">
      <c r="D1000" s="35"/>
      <c r="E1000" s="35"/>
    </row>
    <row r="1001">
      <c r="D1001" s="35"/>
      <c r="E1001" s="35"/>
    </row>
    <row r="1002">
      <c r="D1002" s="35"/>
      <c r="E1002" s="35"/>
    </row>
    <row r="1003">
      <c r="D1003" s="35"/>
      <c r="E1003" s="35"/>
    </row>
    <row r="1004">
      <c r="D1004" s="35"/>
      <c r="E1004" s="35"/>
    </row>
    <row r="1005">
      <c r="D1005" s="35"/>
      <c r="E1005" s="35"/>
    </row>
    <row r="1006">
      <c r="D1006" s="35"/>
      <c r="E1006" s="35"/>
    </row>
    <row r="1007">
      <c r="D1007" s="35"/>
      <c r="E1007" s="35"/>
    </row>
    <row r="1008">
      <c r="D1008" s="35"/>
      <c r="E1008" s="35"/>
    </row>
    <row r="1009">
      <c r="D1009" s="35"/>
      <c r="E1009" s="35"/>
    </row>
    <row r="1010">
      <c r="D1010" s="35"/>
      <c r="E1010" s="35"/>
    </row>
    <row r="1011">
      <c r="D1011" s="35"/>
      <c r="E1011" s="35"/>
    </row>
    <row r="1012">
      <c r="D1012" s="35"/>
      <c r="E1012" s="35"/>
    </row>
    <row r="1013">
      <c r="D1013" s="35"/>
      <c r="E1013" s="35"/>
    </row>
    <row r="1014">
      <c r="D1014" s="35"/>
      <c r="E1014" s="35"/>
    </row>
    <row r="1015">
      <c r="D1015" s="35"/>
      <c r="E1015" s="35"/>
    </row>
    <row r="1016">
      <c r="D1016" s="35"/>
      <c r="E1016" s="35"/>
    </row>
    <row r="1017">
      <c r="D1017" s="35"/>
      <c r="E1017" s="35"/>
    </row>
    <row r="1018">
      <c r="D1018" s="35"/>
      <c r="E1018" s="35"/>
    </row>
    <row r="1019">
      <c r="D1019" s="35"/>
      <c r="E1019" s="35"/>
    </row>
    <row r="1020">
      <c r="D1020" s="35"/>
      <c r="E1020" s="35"/>
    </row>
    <row r="1021">
      <c r="D1021" s="35"/>
      <c r="E1021" s="35"/>
    </row>
    <row r="1022">
      <c r="D1022" s="35"/>
      <c r="E1022" s="35"/>
    </row>
    <row r="1023">
      <c r="D1023" s="35"/>
      <c r="E1023" s="35"/>
    </row>
    <row r="1024">
      <c r="D1024" s="35"/>
      <c r="E1024" s="35"/>
    </row>
    <row r="1025">
      <c r="D1025" s="35"/>
      <c r="E1025" s="35"/>
    </row>
    <row r="1026">
      <c r="D1026" s="35"/>
      <c r="E1026" s="35"/>
    </row>
    <row r="1027">
      <c r="D1027" s="35"/>
      <c r="E1027" s="35"/>
    </row>
    <row r="1028">
      <c r="D1028" s="35"/>
      <c r="E1028" s="35"/>
    </row>
    <row r="1029">
      <c r="D1029" s="35"/>
      <c r="E1029" s="35"/>
    </row>
    <row r="1030">
      <c r="D1030" s="35"/>
      <c r="E1030" s="35"/>
    </row>
    <row r="1031">
      <c r="D1031" s="35"/>
      <c r="E1031" s="35"/>
    </row>
    <row r="1032">
      <c r="D1032" s="35"/>
      <c r="E1032" s="35"/>
    </row>
  </sheetData>
  <mergeCells count="1">
    <mergeCell ref="A103:E103"/>
  </mergeCells>
  <dataValidations>
    <dataValidation type="list" allowBlank="1" showErrorMessage="1" sqref="B2:B8">
      <formula1>"ANO,NE"</formula1>
    </dataValidation>
    <dataValidation type="list" allowBlank="1" showErrorMessage="1" sqref="J2:J8">
      <formula1>"Zaplaceno,Po splatností,Vystavená,Zadržené"</formula1>
    </dataValidation>
    <dataValidation type="list" allowBlank="1" showErrorMessage="1" sqref="D2:D8">
      <formula1>"Režim,21%,12%,Zaloha"</formula1>
    </dataValidation>
  </dataValidations>
  <hyperlinks>
    <hyperlink r:id="rId1" ref="C16"/>
    <hyperlink r:id="rId2" ref="C17"/>
    <hyperlink r:id="rId3" ref="C18"/>
    <hyperlink r:id="rId4" ref="C19"/>
    <hyperlink r:id="rId5" ref="C20"/>
    <hyperlink r:id="rId6" ref="C21"/>
    <hyperlink r:id="rId7" ref="C22"/>
    <hyperlink r:id="rId8" ref="C23"/>
    <hyperlink r:id="rId9" ref="C24"/>
    <hyperlink r:id="rId10" ref="C25"/>
    <hyperlink r:id="rId11" ref="C26"/>
    <hyperlink r:id="rId12" ref="C27"/>
    <hyperlink r:id="rId13" ref="C28"/>
    <hyperlink r:id="rId14" ref="C29"/>
    <hyperlink r:id="rId15" ref="C30"/>
    <hyperlink r:id="rId16" ref="C31"/>
    <hyperlink r:id="rId17" ref="C32"/>
    <hyperlink r:id="rId18" ref="C33"/>
    <hyperlink r:id="rId19" ref="C34"/>
    <hyperlink r:id="rId20" ref="C35"/>
    <hyperlink r:id="rId21" ref="C36"/>
    <hyperlink r:id="rId22" ref="C37"/>
    <hyperlink r:id="rId23" ref="C38"/>
    <hyperlink r:id="rId24" ref="C39"/>
    <hyperlink r:id="rId25" ref="C40"/>
    <hyperlink r:id="rId26" ref="C41"/>
    <hyperlink r:id="rId27" ref="C42"/>
    <hyperlink r:id="rId28" ref="C43"/>
    <hyperlink r:id="rId29" ref="C44"/>
    <hyperlink r:id="rId30" ref="C45"/>
    <hyperlink r:id="rId31" ref="C46"/>
    <hyperlink r:id="rId32" ref="C47"/>
    <hyperlink r:id="rId33" ref="C48"/>
    <hyperlink r:id="rId34" ref="C49"/>
    <hyperlink r:id="rId35" ref="C50"/>
    <hyperlink r:id="rId36" ref="C51"/>
    <hyperlink r:id="rId37" ref="C52"/>
    <hyperlink r:id="rId38" ref="C53"/>
    <hyperlink r:id="rId39" ref="C54"/>
    <hyperlink r:id="rId40" ref="C55"/>
    <hyperlink r:id="rId41" ref="C56"/>
    <hyperlink r:id="rId42" ref="C57"/>
    <hyperlink r:id="rId43" ref="C58"/>
    <hyperlink r:id="rId44" ref="C59"/>
    <hyperlink r:id="rId45" ref="C60"/>
    <hyperlink r:id="rId46" ref="C61"/>
    <hyperlink r:id="rId47" ref="C62"/>
    <hyperlink r:id="rId48" ref="C63"/>
    <hyperlink r:id="rId49" ref="C64"/>
    <hyperlink r:id="rId50" ref="C65"/>
    <hyperlink r:id="rId51" ref="C66"/>
    <hyperlink r:id="rId52" ref="C67"/>
    <hyperlink r:id="rId53" ref="C68"/>
    <hyperlink r:id="rId54" ref="C69"/>
    <hyperlink r:id="rId55" ref="C70"/>
    <hyperlink r:id="rId56" ref="C71"/>
    <hyperlink r:id="rId57" ref="C72"/>
    <hyperlink r:id="rId58" ref="C73"/>
  </hyperlinks>
  <drawing r:id="rId5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8.5"/>
    <col customWidth="1" min="3" max="3" width="22.63"/>
    <col customWidth="1" min="4" max="4" width="21.13"/>
    <col customWidth="1" min="5" max="5" width="23.5"/>
    <col customWidth="1" min="6" max="6" width="16.0"/>
    <col customWidth="1" min="7" max="7" width="16.13"/>
    <col customWidth="1" min="8" max="8" width="17.0"/>
    <col customWidth="1" min="9" max="9" width="16.0"/>
    <col customWidth="1" min="10" max="10" width="15.38"/>
    <col customWidth="1" min="11" max="11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323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78" t="s">
        <v>324</v>
      </c>
      <c r="B2" s="4" t="s">
        <v>11</v>
      </c>
      <c r="C2" s="5">
        <f>121028.2*2</f>
        <v>242056.4</v>
      </c>
      <c r="D2" s="79">
        <v>0.21</v>
      </c>
      <c r="E2" s="5">
        <f t="shared" ref="E2:E8" si="1">ifs(D2=21%,(C2/100*21),D2=12%,(C2/100*12),D2="Režim",0,D2="Zaloha",0)+C2</f>
        <v>292888.244</v>
      </c>
      <c r="F2" s="5">
        <f>C2-C3</f>
        <v>63596.9</v>
      </c>
      <c r="G2" s="103">
        <v>45785.0</v>
      </c>
      <c r="H2" s="104"/>
      <c r="I2" s="105"/>
      <c r="J2" s="6"/>
      <c r="K2" s="106" t="s">
        <v>325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10" t="s">
        <v>326</v>
      </c>
      <c r="B3" s="10" t="s">
        <v>11</v>
      </c>
      <c r="C3" s="11">
        <v>178459.5</v>
      </c>
      <c r="D3" s="16">
        <v>0.21</v>
      </c>
      <c r="E3" s="11">
        <f t="shared" si="1"/>
        <v>215935.995</v>
      </c>
      <c r="F3" s="11"/>
      <c r="G3" s="80">
        <v>45803.0</v>
      </c>
      <c r="H3" s="80">
        <v>45803.0</v>
      </c>
      <c r="I3" s="13">
        <v>45804.0</v>
      </c>
      <c r="J3" s="15" t="s">
        <v>9</v>
      </c>
      <c r="K3" s="10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78" t="s">
        <v>327</v>
      </c>
      <c r="B4" s="4" t="s">
        <v>11</v>
      </c>
      <c r="C4" s="5">
        <v>96947.5</v>
      </c>
      <c r="D4" s="79">
        <v>0.21</v>
      </c>
      <c r="E4" s="5">
        <f t="shared" si="1"/>
        <v>117306.475</v>
      </c>
      <c r="F4" s="5">
        <f>C4-(SUM(C5:C8))</f>
        <v>-53427.69</v>
      </c>
      <c r="G4" s="103">
        <v>45848.0</v>
      </c>
      <c r="H4" s="104"/>
      <c r="I4" s="105"/>
      <c r="J4" s="6"/>
      <c r="K4" s="10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10" t="s">
        <v>328</v>
      </c>
      <c r="B5" s="10" t="s">
        <v>11</v>
      </c>
      <c r="C5" s="11">
        <v>64097.19</v>
      </c>
      <c r="D5" s="16">
        <v>0.21</v>
      </c>
      <c r="E5" s="11">
        <f t="shared" si="1"/>
        <v>77557.5999</v>
      </c>
      <c r="F5" s="11"/>
      <c r="G5" s="80">
        <v>45866.0</v>
      </c>
      <c r="H5" s="80">
        <v>45869.0</v>
      </c>
      <c r="I5" s="13">
        <v>45872.0</v>
      </c>
      <c r="J5" s="15" t="s">
        <v>9</v>
      </c>
      <c r="K5" s="10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 t="s">
        <v>329</v>
      </c>
      <c r="B6" s="10"/>
      <c r="C6" s="11">
        <v>35838.0</v>
      </c>
      <c r="D6" s="16">
        <v>0.12</v>
      </c>
      <c r="E6" s="11">
        <f t="shared" si="1"/>
        <v>40138.56</v>
      </c>
      <c r="F6" s="11"/>
      <c r="G6" s="80">
        <v>45800.0</v>
      </c>
      <c r="H6" s="80"/>
      <c r="I6" s="80"/>
      <c r="J6" s="15"/>
      <c r="K6" s="108" t="s">
        <v>330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 t="s">
        <v>331</v>
      </c>
      <c r="B7" s="10"/>
      <c r="C7" s="11">
        <v>50440.0</v>
      </c>
      <c r="D7" s="16">
        <v>0.12</v>
      </c>
      <c r="E7" s="11">
        <f t="shared" si="1"/>
        <v>56492.8</v>
      </c>
      <c r="F7" s="11"/>
      <c r="G7" s="80">
        <v>45800.0</v>
      </c>
      <c r="H7" s="80"/>
      <c r="I7" s="80"/>
      <c r="J7" s="15"/>
      <c r="K7" s="108" t="s">
        <v>330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/>
      <c r="B8" s="10"/>
      <c r="C8" s="11"/>
      <c r="D8" s="16"/>
      <c r="E8" s="11" t="str">
        <f t="shared" si="1"/>
        <v>#N/A</v>
      </c>
      <c r="F8" s="11"/>
      <c r="G8" s="17"/>
      <c r="H8" s="80"/>
      <c r="I8" s="80"/>
      <c r="J8" s="15"/>
      <c r="K8" s="10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"/>
      <c r="B9" s="19"/>
      <c r="C9" s="19"/>
      <c r="D9" s="19"/>
      <c r="E9" s="19"/>
      <c r="F9" s="19"/>
      <c r="G9" s="1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"/>
      <c r="B10" s="19"/>
      <c r="C10" s="19"/>
      <c r="D10" s="19"/>
      <c r="E10" s="19"/>
      <c r="F10" s="19"/>
      <c r="G10" s="1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" t="s">
        <v>14</v>
      </c>
      <c r="B11" s="20" t="s">
        <v>15</v>
      </c>
      <c r="C11" s="20" t="s">
        <v>16</v>
      </c>
      <c r="D11" s="20" t="s">
        <v>17</v>
      </c>
      <c r="E11" s="20" t="s">
        <v>18</v>
      </c>
      <c r="F11" s="20" t="s">
        <v>19</v>
      </c>
      <c r="G11" s="20" t="s">
        <v>17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"/>
      <c r="B12" s="21"/>
      <c r="C12" s="22"/>
      <c r="D12" s="22">
        <f>B12-C12</f>
        <v>0</v>
      </c>
      <c r="E12" s="23"/>
      <c r="F12" s="23">
        <v>0.0</v>
      </c>
      <c r="G12" s="24">
        <f>E12-F12</f>
        <v>0</v>
      </c>
    </row>
    <row r="13">
      <c r="E13" s="25"/>
    </row>
    <row r="15">
      <c r="A15" s="26" t="s">
        <v>21</v>
      </c>
      <c r="B15" s="26" t="s">
        <v>22</v>
      </c>
      <c r="C15" s="26" t="s">
        <v>23</v>
      </c>
      <c r="D15" s="26" t="s">
        <v>24</v>
      </c>
      <c r="E15" s="26" t="s">
        <v>25</v>
      </c>
      <c r="F15" s="26" t="s">
        <v>26</v>
      </c>
    </row>
    <row r="16">
      <c r="A16" s="27"/>
      <c r="B16" s="23"/>
      <c r="C16" s="23"/>
      <c r="D16" s="23"/>
      <c r="E16" s="23"/>
      <c r="F16" s="24">
        <f t="shared" ref="F16:F51" si="2">E16*D16</f>
        <v>0</v>
      </c>
    </row>
    <row r="17">
      <c r="A17" s="24"/>
      <c r="B17" s="24"/>
      <c r="C17" s="23"/>
      <c r="D17" s="23"/>
      <c r="E17" s="23"/>
      <c r="F17" s="24">
        <f t="shared" si="2"/>
        <v>0</v>
      </c>
    </row>
    <row r="18">
      <c r="A18" s="27"/>
      <c r="B18" s="23"/>
      <c r="C18" s="23"/>
      <c r="D18" s="23"/>
      <c r="E18" s="28"/>
      <c r="F18" s="24">
        <f t="shared" si="2"/>
        <v>0</v>
      </c>
    </row>
    <row r="19">
      <c r="A19" s="29"/>
      <c r="B19" s="24"/>
      <c r="C19" s="29"/>
      <c r="D19" s="29"/>
      <c r="E19" s="29"/>
      <c r="F19" s="24">
        <f t="shared" si="2"/>
        <v>0</v>
      </c>
    </row>
    <row r="20">
      <c r="A20" s="29"/>
      <c r="B20" s="24"/>
      <c r="C20" s="29"/>
      <c r="D20" s="29"/>
      <c r="E20" s="29"/>
      <c r="F20" s="24">
        <f t="shared" si="2"/>
        <v>0</v>
      </c>
    </row>
    <row r="21">
      <c r="A21" s="29"/>
      <c r="B21" s="24"/>
      <c r="C21" s="29"/>
      <c r="D21" s="29"/>
      <c r="E21" s="29"/>
      <c r="F21" s="24">
        <f t="shared" si="2"/>
        <v>0</v>
      </c>
    </row>
    <row r="22">
      <c r="A22" s="29"/>
      <c r="B22" s="24"/>
      <c r="C22" s="29"/>
      <c r="D22" s="29"/>
      <c r="E22" s="29"/>
      <c r="F22" s="24">
        <f t="shared" si="2"/>
        <v>0</v>
      </c>
    </row>
    <row r="23">
      <c r="A23" s="29"/>
      <c r="B23" s="24"/>
      <c r="C23" s="29"/>
      <c r="D23" s="29"/>
      <c r="E23" s="29"/>
      <c r="F23" s="24">
        <f t="shared" si="2"/>
        <v>0</v>
      </c>
    </row>
    <row r="24">
      <c r="A24" s="29"/>
      <c r="B24" s="24"/>
      <c r="C24" s="29"/>
      <c r="D24" s="29"/>
      <c r="E24" s="29"/>
      <c r="F24" s="24">
        <f t="shared" si="2"/>
        <v>0</v>
      </c>
    </row>
    <row r="25">
      <c r="A25" s="29"/>
      <c r="B25" s="24"/>
      <c r="C25" s="29"/>
      <c r="D25" s="29"/>
      <c r="E25" s="29"/>
      <c r="F25" s="24">
        <f t="shared" si="2"/>
        <v>0</v>
      </c>
    </row>
    <row r="26">
      <c r="A26" s="29"/>
      <c r="B26" s="24"/>
      <c r="C26" s="29"/>
      <c r="D26" s="29"/>
      <c r="E26" s="29"/>
      <c r="F26" s="24">
        <f t="shared" si="2"/>
        <v>0</v>
      </c>
    </row>
    <row r="27">
      <c r="A27" s="29"/>
      <c r="B27" s="24"/>
      <c r="C27" s="29"/>
      <c r="D27" s="29"/>
      <c r="E27" s="29"/>
      <c r="F27" s="24">
        <f t="shared" si="2"/>
        <v>0</v>
      </c>
    </row>
    <row r="28">
      <c r="A28" s="29"/>
      <c r="B28" s="24"/>
      <c r="C28" s="29"/>
      <c r="D28" s="29"/>
      <c r="E28" s="29"/>
      <c r="F28" s="24">
        <f t="shared" si="2"/>
        <v>0</v>
      </c>
    </row>
    <row r="29">
      <c r="A29" s="29"/>
      <c r="B29" s="24"/>
      <c r="C29" s="29"/>
      <c r="D29" s="29"/>
      <c r="E29" s="29"/>
      <c r="F29" s="24">
        <f t="shared" si="2"/>
        <v>0</v>
      </c>
    </row>
    <row r="30">
      <c r="A30" s="29"/>
      <c r="B30" s="24"/>
      <c r="C30" s="29"/>
      <c r="D30" s="29"/>
      <c r="E30" s="29"/>
      <c r="F30" s="24">
        <f t="shared" si="2"/>
        <v>0</v>
      </c>
    </row>
    <row r="31">
      <c r="A31" s="29"/>
      <c r="B31" s="24"/>
      <c r="C31" s="29"/>
      <c r="D31" s="29"/>
      <c r="E31" s="29"/>
      <c r="F31" s="24">
        <f t="shared" si="2"/>
        <v>0</v>
      </c>
    </row>
    <row r="32">
      <c r="A32" s="29"/>
      <c r="B32" s="24"/>
      <c r="C32" s="29"/>
      <c r="D32" s="29"/>
      <c r="E32" s="29"/>
      <c r="F32" s="24">
        <f t="shared" si="2"/>
        <v>0</v>
      </c>
    </row>
    <row r="33">
      <c r="A33" s="29"/>
      <c r="B33" s="24"/>
      <c r="C33" s="29"/>
      <c r="D33" s="29"/>
      <c r="E33" s="29"/>
      <c r="F33" s="24">
        <f t="shared" si="2"/>
        <v>0</v>
      </c>
    </row>
    <row r="34">
      <c r="A34" s="29"/>
      <c r="B34" s="24"/>
      <c r="C34" s="29"/>
      <c r="D34" s="29"/>
      <c r="E34" s="29"/>
      <c r="F34" s="24">
        <f t="shared" si="2"/>
        <v>0</v>
      </c>
    </row>
    <row r="35">
      <c r="A35" s="29"/>
      <c r="B35" s="24"/>
      <c r="C35" s="29"/>
      <c r="D35" s="29"/>
      <c r="E35" s="29"/>
      <c r="F35" s="24">
        <f t="shared" si="2"/>
        <v>0</v>
      </c>
    </row>
    <row r="36">
      <c r="A36" s="29"/>
      <c r="B36" s="24"/>
      <c r="C36" s="29"/>
      <c r="D36" s="29"/>
      <c r="E36" s="29"/>
      <c r="F36" s="24">
        <f t="shared" si="2"/>
        <v>0</v>
      </c>
    </row>
    <row r="37">
      <c r="A37" s="29"/>
      <c r="B37" s="24"/>
      <c r="C37" s="29"/>
      <c r="D37" s="29"/>
      <c r="E37" s="29"/>
      <c r="F37" s="24">
        <f t="shared" si="2"/>
        <v>0</v>
      </c>
    </row>
    <row r="38">
      <c r="A38" s="29"/>
      <c r="B38" s="24"/>
      <c r="C38" s="29"/>
      <c r="D38" s="29"/>
      <c r="E38" s="29"/>
      <c r="F38" s="24">
        <f t="shared" si="2"/>
        <v>0</v>
      </c>
    </row>
    <row r="39">
      <c r="A39" s="29"/>
      <c r="B39" s="24"/>
      <c r="C39" s="29"/>
      <c r="D39" s="29"/>
      <c r="E39" s="29"/>
      <c r="F39" s="24">
        <f t="shared" si="2"/>
        <v>0</v>
      </c>
    </row>
    <row r="40">
      <c r="A40" s="29"/>
      <c r="B40" s="24"/>
      <c r="C40" s="29"/>
      <c r="D40" s="29"/>
      <c r="E40" s="29"/>
      <c r="F40" s="24">
        <f t="shared" si="2"/>
        <v>0</v>
      </c>
    </row>
    <row r="41">
      <c r="A41" s="29"/>
      <c r="B41" s="24"/>
      <c r="C41" s="29"/>
      <c r="D41" s="29"/>
      <c r="E41" s="29"/>
      <c r="F41" s="24">
        <f t="shared" si="2"/>
        <v>0</v>
      </c>
    </row>
    <row r="42">
      <c r="A42" s="29"/>
      <c r="B42" s="24"/>
      <c r="C42" s="29"/>
      <c r="D42" s="29"/>
      <c r="E42" s="29"/>
      <c r="F42" s="24">
        <f t="shared" si="2"/>
        <v>0</v>
      </c>
    </row>
    <row r="43">
      <c r="A43" s="29"/>
      <c r="B43" s="24"/>
      <c r="C43" s="29"/>
      <c r="D43" s="29"/>
      <c r="E43" s="29"/>
      <c r="F43" s="24">
        <f t="shared" si="2"/>
        <v>0</v>
      </c>
    </row>
    <row r="44">
      <c r="A44" s="29"/>
      <c r="B44" s="24"/>
      <c r="C44" s="29"/>
      <c r="D44" s="29"/>
      <c r="E44" s="29"/>
      <c r="F44" s="24">
        <f t="shared" si="2"/>
        <v>0</v>
      </c>
    </row>
    <row r="45">
      <c r="A45" s="29"/>
      <c r="B45" s="24"/>
      <c r="C45" s="29"/>
      <c r="D45" s="29"/>
      <c r="E45" s="29"/>
      <c r="F45" s="24">
        <f t="shared" si="2"/>
        <v>0</v>
      </c>
    </row>
    <row r="46">
      <c r="A46" s="29"/>
      <c r="B46" s="24"/>
      <c r="C46" s="29"/>
      <c r="D46" s="29"/>
      <c r="E46" s="29"/>
      <c r="F46" s="24">
        <f t="shared" si="2"/>
        <v>0</v>
      </c>
    </row>
    <row r="47">
      <c r="A47" s="29"/>
      <c r="B47" s="24"/>
      <c r="C47" s="29"/>
      <c r="D47" s="29"/>
      <c r="E47" s="29"/>
      <c r="F47" s="24">
        <f t="shared" si="2"/>
        <v>0</v>
      </c>
    </row>
    <row r="48">
      <c r="A48" s="29"/>
      <c r="B48" s="24"/>
      <c r="C48" s="29"/>
      <c r="D48" s="29"/>
      <c r="E48" s="29"/>
      <c r="F48" s="24">
        <f t="shared" si="2"/>
        <v>0</v>
      </c>
    </row>
    <row r="49">
      <c r="A49" s="29"/>
      <c r="B49" s="24"/>
      <c r="C49" s="29"/>
      <c r="D49" s="29"/>
      <c r="E49" s="29"/>
      <c r="F49" s="24">
        <f t="shared" si="2"/>
        <v>0</v>
      </c>
    </row>
    <row r="50">
      <c r="A50" s="29"/>
      <c r="B50" s="24"/>
      <c r="C50" s="29"/>
      <c r="D50" s="29"/>
      <c r="E50" s="29"/>
      <c r="F50" s="24">
        <f t="shared" si="2"/>
        <v>0</v>
      </c>
    </row>
    <row r="51">
      <c r="A51" s="29"/>
      <c r="B51" s="24"/>
      <c r="C51" s="29"/>
      <c r="D51" s="29"/>
      <c r="E51" s="29"/>
      <c r="F51" s="24">
        <f t="shared" si="2"/>
        <v>0</v>
      </c>
    </row>
    <row r="52">
      <c r="A52" s="30" t="s">
        <v>27</v>
      </c>
      <c r="B52" s="31"/>
      <c r="C52" s="31"/>
      <c r="D52" s="31"/>
      <c r="E52" s="32"/>
      <c r="F52" s="33">
        <f>SUM(F16:F24)</f>
        <v>0</v>
      </c>
    </row>
  </sheetData>
  <mergeCells count="1">
    <mergeCell ref="A52:E52"/>
  </mergeCells>
  <dataValidations>
    <dataValidation type="list" allowBlank="1" showErrorMessage="1" sqref="B2:B8">
      <formula1>"ANO,NE"</formula1>
    </dataValidation>
    <dataValidation type="list" allowBlank="1" showErrorMessage="1" sqref="J2:J8">
      <formula1>"Zaplaceno,Po splatností,Vystavená,Zadržené"</formula1>
    </dataValidation>
    <dataValidation type="list" allowBlank="1" showErrorMessage="1" sqref="D2:D8">
      <formula1>"Režim,21%,12%,Zaloha"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3" max="3" width="47.13"/>
    <col customWidth="1" min="4" max="4" width="13.63"/>
    <col customWidth="1" min="6" max="6" width="18.63"/>
  </cols>
  <sheetData>
    <row r="1">
      <c r="A1" s="20" t="s">
        <v>14</v>
      </c>
      <c r="B1" s="20" t="s">
        <v>15</v>
      </c>
      <c r="C1" s="20" t="s">
        <v>16</v>
      </c>
      <c r="D1" s="20" t="s">
        <v>17</v>
      </c>
      <c r="E1" s="20" t="s">
        <v>18</v>
      </c>
      <c r="F1" s="109" t="s">
        <v>28</v>
      </c>
      <c r="G1" s="20" t="s">
        <v>17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1"/>
      <c r="B2" s="21"/>
      <c r="C2" s="110">
        <f>F72</f>
        <v>748221.36</v>
      </c>
      <c r="D2" s="22"/>
      <c r="E2" s="23"/>
      <c r="F2" s="111">
        <v>200.0</v>
      </c>
      <c r="G2" s="24"/>
    </row>
    <row r="3">
      <c r="F3" s="112"/>
    </row>
    <row r="4">
      <c r="F4" s="112"/>
    </row>
    <row r="5">
      <c r="A5" s="26" t="s">
        <v>332</v>
      </c>
      <c r="B5" s="26" t="s">
        <v>22</v>
      </c>
      <c r="C5" s="26" t="s">
        <v>23</v>
      </c>
      <c r="D5" s="26" t="s">
        <v>24</v>
      </c>
      <c r="E5" s="26" t="s">
        <v>25</v>
      </c>
      <c r="F5" s="113" t="s">
        <v>26</v>
      </c>
    </row>
    <row r="6">
      <c r="A6" s="114">
        <v>45961.0</v>
      </c>
      <c r="B6" s="42" t="s">
        <v>31</v>
      </c>
      <c r="C6" s="28" t="s">
        <v>333</v>
      </c>
      <c r="D6" s="28">
        <v>2.0</v>
      </c>
      <c r="E6" s="115">
        <v>209.0</v>
      </c>
      <c r="F6" s="116">
        <f t="shared" ref="F6:F50" si="1">E6*D6</f>
        <v>418</v>
      </c>
    </row>
    <row r="7">
      <c r="A7" s="29"/>
      <c r="B7" s="47">
        <v>2.5603519E7</v>
      </c>
      <c r="C7" s="28" t="s">
        <v>334</v>
      </c>
      <c r="D7" s="28">
        <v>3.0</v>
      </c>
      <c r="E7" s="115">
        <v>1001.0</v>
      </c>
      <c r="F7" s="116">
        <f t="shared" si="1"/>
        <v>3003</v>
      </c>
    </row>
    <row r="8">
      <c r="A8" s="29"/>
      <c r="B8" s="117"/>
      <c r="C8" s="28" t="s">
        <v>335</v>
      </c>
      <c r="D8" s="28">
        <v>20.0</v>
      </c>
      <c r="E8" s="115">
        <v>28.7</v>
      </c>
      <c r="F8" s="116">
        <f t="shared" si="1"/>
        <v>574</v>
      </c>
    </row>
    <row r="9">
      <c r="A9" s="29"/>
      <c r="B9" s="117"/>
      <c r="C9" s="28" t="s">
        <v>336</v>
      </c>
      <c r="D9" s="28">
        <v>10.0</v>
      </c>
      <c r="E9" s="115">
        <v>99.4</v>
      </c>
      <c r="F9" s="116">
        <f t="shared" si="1"/>
        <v>994</v>
      </c>
    </row>
    <row r="10">
      <c r="A10" s="29"/>
      <c r="B10" s="117"/>
      <c r="C10" s="28" t="s">
        <v>175</v>
      </c>
      <c r="D10" s="28">
        <v>10.0</v>
      </c>
      <c r="E10" s="115">
        <v>69.3</v>
      </c>
      <c r="F10" s="116">
        <f t="shared" si="1"/>
        <v>693</v>
      </c>
    </row>
    <row r="11">
      <c r="A11" s="29"/>
      <c r="B11" s="117"/>
      <c r="C11" s="28" t="s">
        <v>337</v>
      </c>
      <c r="D11" s="28">
        <v>5.0</v>
      </c>
      <c r="E11" s="115">
        <v>93.8</v>
      </c>
      <c r="F11" s="116">
        <f t="shared" si="1"/>
        <v>469</v>
      </c>
    </row>
    <row r="12">
      <c r="A12" s="29"/>
      <c r="B12" s="117"/>
      <c r="C12" s="28" t="s">
        <v>338</v>
      </c>
      <c r="D12" s="28">
        <v>1.0</v>
      </c>
      <c r="E12" s="115">
        <v>871.5</v>
      </c>
      <c r="F12" s="116">
        <f t="shared" si="1"/>
        <v>871.5</v>
      </c>
    </row>
    <row r="13">
      <c r="A13" s="29"/>
      <c r="B13" s="117"/>
      <c r="C13" s="28" t="s">
        <v>339</v>
      </c>
      <c r="D13" s="28">
        <v>20.0</v>
      </c>
      <c r="E13" s="115">
        <v>21.7</v>
      </c>
      <c r="F13" s="116">
        <f t="shared" si="1"/>
        <v>434</v>
      </c>
    </row>
    <row r="14">
      <c r="A14" s="29"/>
      <c r="B14" s="117"/>
      <c r="C14" s="28" t="s">
        <v>128</v>
      </c>
      <c r="D14" s="28">
        <v>10.0</v>
      </c>
      <c r="E14" s="115">
        <v>70.0</v>
      </c>
      <c r="F14" s="116">
        <f t="shared" si="1"/>
        <v>700</v>
      </c>
    </row>
    <row r="15">
      <c r="A15" s="29"/>
      <c r="B15" s="117"/>
      <c r="C15" s="28" t="s">
        <v>340</v>
      </c>
      <c r="D15" s="28">
        <v>10.0</v>
      </c>
      <c r="E15" s="115">
        <v>49.0</v>
      </c>
      <c r="F15" s="116">
        <f t="shared" si="1"/>
        <v>490</v>
      </c>
    </row>
    <row r="16">
      <c r="A16" s="29"/>
      <c r="B16" s="117"/>
      <c r="C16" s="28" t="s">
        <v>341</v>
      </c>
      <c r="D16" s="28">
        <v>10.0</v>
      </c>
      <c r="E16" s="115">
        <v>20.3</v>
      </c>
      <c r="F16" s="116">
        <f t="shared" si="1"/>
        <v>203</v>
      </c>
    </row>
    <row r="17">
      <c r="A17" s="29"/>
      <c r="B17" s="117"/>
      <c r="C17" s="28" t="s">
        <v>87</v>
      </c>
      <c r="D17" s="28">
        <v>10.0</v>
      </c>
      <c r="E17" s="115">
        <v>15.4</v>
      </c>
      <c r="F17" s="116">
        <f t="shared" si="1"/>
        <v>154</v>
      </c>
    </row>
    <row r="18">
      <c r="A18" s="29"/>
      <c r="B18" s="117"/>
      <c r="C18" s="28" t="s">
        <v>342</v>
      </c>
      <c r="D18" s="28">
        <v>50.0</v>
      </c>
      <c r="E18" s="115">
        <v>6.3</v>
      </c>
      <c r="F18" s="116">
        <f t="shared" si="1"/>
        <v>315</v>
      </c>
    </row>
    <row r="19">
      <c r="A19" s="114">
        <v>45961.0</v>
      </c>
      <c r="B19" s="47">
        <v>2.560352E7</v>
      </c>
      <c r="C19" s="118" t="s">
        <v>343</v>
      </c>
      <c r="D19" s="118">
        <v>8.0</v>
      </c>
      <c r="E19" s="119">
        <v>35692.05</v>
      </c>
      <c r="F19" s="120">
        <f t="shared" si="1"/>
        <v>285536.4</v>
      </c>
    </row>
    <row r="20">
      <c r="A20" s="114">
        <v>45980.0</v>
      </c>
      <c r="B20" s="47">
        <v>2.5603748E7</v>
      </c>
      <c r="C20" s="118" t="s">
        <v>344</v>
      </c>
      <c r="D20" s="118">
        <v>4.0</v>
      </c>
      <c r="E20" s="119">
        <v>35692.05</v>
      </c>
      <c r="F20" s="120">
        <f t="shared" si="1"/>
        <v>142768.2</v>
      </c>
    </row>
    <row r="21">
      <c r="A21" s="29"/>
      <c r="B21" s="117"/>
      <c r="C21" s="28" t="s">
        <v>345</v>
      </c>
      <c r="D21" s="28">
        <v>20.0</v>
      </c>
      <c r="E21" s="115">
        <v>28.7</v>
      </c>
      <c r="F21" s="116">
        <f t="shared" si="1"/>
        <v>574</v>
      </c>
    </row>
    <row r="22">
      <c r="A22" s="29"/>
      <c r="B22" s="117"/>
      <c r="C22" s="28" t="s">
        <v>346</v>
      </c>
      <c r="D22" s="28">
        <v>20.0</v>
      </c>
      <c r="E22" s="115">
        <v>21.7</v>
      </c>
      <c r="F22" s="116">
        <f t="shared" si="1"/>
        <v>434</v>
      </c>
    </row>
    <row r="23">
      <c r="A23" s="29"/>
      <c r="B23" s="117"/>
      <c r="C23" s="28" t="s">
        <v>86</v>
      </c>
      <c r="D23" s="28">
        <v>10.0</v>
      </c>
      <c r="E23" s="115">
        <v>77.0</v>
      </c>
      <c r="F23" s="116">
        <f t="shared" si="1"/>
        <v>770</v>
      </c>
    </row>
    <row r="24">
      <c r="A24" s="29"/>
      <c r="B24" s="117"/>
      <c r="C24" s="28" t="s">
        <v>347</v>
      </c>
      <c r="D24" s="28">
        <v>10.0</v>
      </c>
      <c r="E24" s="115">
        <v>107.8</v>
      </c>
      <c r="F24" s="116">
        <f t="shared" si="1"/>
        <v>1078</v>
      </c>
    </row>
    <row r="25">
      <c r="A25" s="29"/>
      <c r="B25" s="117"/>
      <c r="C25" s="28" t="s">
        <v>348</v>
      </c>
      <c r="D25" s="28">
        <v>4.0</v>
      </c>
      <c r="E25" s="115">
        <v>44.84</v>
      </c>
      <c r="F25" s="116">
        <f t="shared" si="1"/>
        <v>179.36</v>
      </c>
    </row>
    <row r="26">
      <c r="A26" s="29"/>
      <c r="B26" s="117"/>
      <c r="C26" s="28" t="s">
        <v>349</v>
      </c>
      <c r="D26" s="28">
        <v>4.0</v>
      </c>
      <c r="E26" s="115">
        <v>568.4</v>
      </c>
      <c r="F26" s="116">
        <f t="shared" si="1"/>
        <v>2273.6</v>
      </c>
    </row>
    <row r="27">
      <c r="A27" s="29"/>
      <c r="B27" s="117"/>
      <c r="C27" s="28" t="s">
        <v>341</v>
      </c>
      <c r="D27" s="28">
        <v>10.0</v>
      </c>
      <c r="E27" s="115">
        <v>20.3</v>
      </c>
      <c r="F27" s="116">
        <f t="shared" si="1"/>
        <v>203</v>
      </c>
    </row>
    <row r="28">
      <c r="A28" s="29"/>
      <c r="B28" s="117"/>
      <c r="C28" s="28" t="s">
        <v>350</v>
      </c>
      <c r="D28" s="28">
        <v>10.0</v>
      </c>
      <c r="E28" s="115">
        <v>70.85</v>
      </c>
      <c r="F28" s="116">
        <f t="shared" si="1"/>
        <v>708.5</v>
      </c>
    </row>
    <row r="29">
      <c r="A29" s="121">
        <v>45994.0</v>
      </c>
      <c r="B29" s="47">
        <v>2.5603985E7</v>
      </c>
      <c r="C29" s="28" t="s">
        <v>349</v>
      </c>
      <c r="D29" s="28">
        <v>5.0</v>
      </c>
      <c r="E29" s="115">
        <v>568.4</v>
      </c>
      <c r="F29" s="116">
        <f t="shared" si="1"/>
        <v>2842</v>
      </c>
    </row>
    <row r="30">
      <c r="A30" s="29"/>
      <c r="B30" s="117"/>
      <c r="C30" s="118" t="s">
        <v>344</v>
      </c>
      <c r="D30" s="118">
        <v>4.0</v>
      </c>
      <c r="E30" s="119">
        <v>35692.05</v>
      </c>
      <c r="F30" s="120">
        <f t="shared" si="1"/>
        <v>142768.2</v>
      </c>
    </row>
    <row r="31">
      <c r="A31" s="29"/>
      <c r="B31" s="117"/>
      <c r="C31" s="28" t="s">
        <v>345</v>
      </c>
      <c r="D31" s="28">
        <v>10.0</v>
      </c>
      <c r="E31" s="115">
        <v>41.0</v>
      </c>
      <c r="F31" s="116">
        <f t="shared" si="1"/>
        <v>410</v>
      </c>
    </row>
    <row r="32">
      <c r="A32" s="29"/>
      <c r="B32" s="117"/>
      <c r="C32" s="28" t="s">
        <v>351</v>
      </c>
      <c r="D32" s="28">
        <v>2.0</v>
      </c>
      <c r="E32" s="115">
        <v>1001.0</v>
      </c>
      <c r="F32" s="116">
        <f t="shared" si="1"/>
        <v>2002</v>
      </c>
    </row>
    <row r="33">
      <c r="A33" s="29"/>
      <c r="B33" s="117"/>
      <c r="C33" s="28" t="s">
        <v>338</v>
      </c>
      <c r="D33" s="28">
        <v>1.0</v>
      </c>
      <c r="E33" s="115">
        <v>871.5</v>
      </c>
      <c r="F33" s="116">
        <f t="shared" si="1"/>
        <v>871.5</v>
      </c>
    </row>
    <row r="34">
      <c r="A34" s="29"/>
      <c r="B34" s="117"/>
      <c r="C34" s="28" t="s">
        <v>341</v>
      </c>
      <c r="D34" s="28">
        <v>20.0</v>
      </c>
      <c r="E34" s="115">
        <v>20.3</v>
      </c>
      <c r="F34" s="116">
        <f t="shared" si="1"/>
        <v>406</v>
      </c>
    </row>
    <row r="35">
      <c r="A35" s="29"/>
      <c r="B35" s="117"/>
      <c r="C35" s="28" t="s">
        <v>87</v>
      </c>
      <c r="D35" s="28">
        <v>10.0</v>
      </c>
      <c r="E35" s="115">
        <v>15.4</v>
      </c>
      <c r="F35" s="116">
        <f t="shared" si="1"/>
        <v>154</v>
      </c>
    </row>
    <row r="36">
      <c r="A36" s="29"/>
      <c r="B36" s="117"/>
      <c r="C36" s="28" t="s">
        <v>342</v>
      </c>
      <c r="D36" s="28">
        <v>50.0</v>
      </c>
      <c r="E36" s="115">
        <v>6.3</v>
      </c>
      <c r="F36" s="116">
        <f t="shared" si="1"/>
        <v>315</v>
      </c>
    </row>
    <row r="37">
      <c r="A37" s="29"/>
      <c r="B37" s="117"/>
      <c r="C37" s="28" t="s">
        <v>352</v>
      </c>
      <c r="D37" s="28">
        <v>4.0</v>
      </c>
      <c r="E37" s="115">
        <v>170.25</v>
      </c>
      <c r="F37" s="116">
        <f t="shared" si="1"/>
        <v>681</v>
      </c>
    </row>
    <row r="38">
      <c r="A38" s="29"/>
      <c r="B38" s="117"/>
      <c r="C38" s="28" t="s">
        <v>219</v>
      </c>
      <c r="D38" s="28">
        <v>1.0</v>
      </c>
      <c r="E38" s="115">
        <v>209.0</v>
      </c>
      <c r="F38" s="116">
        <f t="shared" si="1"/>
        <v>209</v>
      </c>
    </row>
    <row r="39">
      <c r="A39" s="29"/>
      <c r="B39" s="117"/>
      <c r="C39" s="28" t="s">
        <v>345</v>
      </c>
      <c r="D39" s="28">
        <v>40.0</v>
      </c>
      <c r="E39" s="115">
        <v>28.7</v>
      </c>
      <c r="F39" s="116">
        <f t="shared" si="1"/>
        <v>1148</v>
      </c>
    </row>
    <row r="40">
      <c r="A40" s="29"/>
      <c r="B40" s="117"/>
      <c r="C40" s="28" t="s">
        <v>346</v>
      </c>
      <c r="D40" s="28">
        <v>20.0</v>
      </c>
      <c r="E40" s="115">
        <v>21.7</v>
      </c>
      <c r="F40" s="116">
        <f t="shared" si="1"/>
        <v>434</v>
      </c>
    </row>
    <row r="41">
      <c r="A41" s="29"/>
      <c r="B41" s="117"/>
      <c r="C41" s="28" t="s">
        <v>86</v>
      </c>
      <c r="D41" s="28">
        <v>20.0</v>
      </c>
      <c r="E41" s="115">
        <v>77.0</v>
      </c>
      <c r="F41" s="116">
        <f t="shared" si="1"/>
        <v>1540</v>
      </c>
    </row>
    <row r="42">
      <c r="A42" s="29"/>
      <c r="B42" s="117"/>
      <c r="C42" s="28" t="s">
        <v>347</v>
      </c>
      <c r="D42" s="28">
        <v>20.0</v>
      </c>
      <c r="E42" s="115">
        <v>107.8</v>
      </c>
      <c r="F42" s="116">
        <f t="shared" si="1"/>
        <v>2156</v>
      </c>
    </row>
    <row r="43">
      <c r="A43" s="29"/>
      <c r="B43" s="117"/>
      <c r="C43" s="28" t="s">
        <v>349</v>
      </c>
      <c r="D43" s="28">
        <v>3.0</v>
      </c>
      <c r="E43" s="115">
        <v>568.4</v>
      </c>
      <c r="F43" s="116">
        <f t="shared" si="1"/>
        <v>1705.2</v>
      </c>
    </row>
    <row r="44">
      <c r="A44" s="29"/>
      <c r="B44" s="117"/>
      <c r="C44" s="28" t="s">
        <v>353</v>
      </c>
      <c r="D44" s="28">
        <v>10.0</v>
      </c>
      <c r="E44" s="115">
        <v>133.25</v>
      </c>
      <c r="F44" s="116">
        <f t="shared" si="1"/>
        <v>1332.5</v>
      </c>
    </row>
    <row r="45">
      <c r="A45" s="29"/>
      <c r="B45" s="117"/>
      <c r="C45" s="28" t="s">
        <v>350</v>
      </c>
      <c r="D45" s="28">
        <v>16.0</v>
      </c>
      <c r="E45" s="115">
        <v>70.85</v>
      </c>
      <c r="F45" s="116">
        <f t="shared" si="1"/>
        <v>1133.6</v>
      </c>
    </row>
    <row r="46">
      <c r="A46" s="29"/>
      <c r="B46" s="117"/>
      <c r="C46" s="28" t="s">
        <v>354</v>
      </c>
      <c r="D46" s="28">
        <v>16.0</v>
      </c>
      <c r="E46" s="115">
        <v>50.1</v>
      </c>
      <c r="F46" s="116">
        <f t="shared" si="1"/>
        <v>801.6</v>
      </c>
    </row>
    <row r="47">
      <c r="A47" s="29"/>
      <c r="B47" s="117"/>
      <c r="C47" s="28" t="s">
        <v>355</v>
      </c>
      <c r="D47" s="28">
        <v>30.0</v>
      </c>
      <c r="E47" s="115">
        <v>4.2</v>
      </c>
      <c r="F47" s="116">
        <f t="shared" si="1"/>
        <v>126</v>
      </c>
    </row>
    <row r="48">
      <c r="A48" s="122">
        <v>45995.0</v>
      </c>
      <c r="B48" s="47">
        <v>2.5603995E7</v>
      </c>
      <c r="C48" s="28" t="s">
        <v>345</v>
      </c>
      <c r="D48" s="28">
        <v>20.0</v>
      </c>
      <c r="E48" s="115">
        <v>28.7</v>
      </c>
      <c r="F48" s="116">
        <f t="shared" si="1"/>
        <v>574</v>
      </c>
    </row>
    <row r="49">
      <c r="A49" s="29"/>
      <c r="B49" s="117"/>
      <c r="C49" s="118" t="s">
        <v>343</v>
      </c>
      <c r="D49" s="118">
        <v>4.0</v>
      </c>
      <c r="E49" s="119">
        <v>35692.05</v>
      </c>
      <c r="F49" s="120">
        <f t="shared" si="1"/>
        <v>142768.2</v>
      </c>
    </row>
    <row r="50">
      <c r="A50" s="114">
        <v>45960.0</v>
      </c>
      <c r="B50" s="42" t="s">
        <v>356</v>
      </c>
      <c r="C50" s="123" t="s">
        <v>357</v>
      </c>
      <c r="D50" s="123">
        <v>5.0</v>
      </c>
      <c r="E50" s="124">
        <v>1674.0</v>
      </c>
      <c r="F50" s="125">
        <f t="shared" si="1"/>
        <v>8370</v>
      </c>
    </row>
    <row r="51">
      <c r="A51" s="29"/>
      <c r="B51" s="47" t="s">
        <v>358</v>
      </c>
      <c r="C51" s="126"/>
      <c r="D51" s="126"/>
      <c r="E51" s="126"/>
      <c r="F51" s="126"/>
    </row>
    <row r="52">
      <c r="A52" s="114">
        <v>45972.0</v>
      </c>
      <c r="B52" s="42" t="s">
        <v>31</v>
      </c>
      <c r="C52" s="123" t="s">
        <v>357</v>
      </c>
      <c r="D52" s="123">
        <v>14.0</v>
      </c>
      <c r="E52" s="124">
        <v>1729.8</v>
      </c>
      <c r="F52" s="125">
        <f>E52*D52</f>
        <v>24217.2</v>
      </c>
    </row>
    <row r="53">
      <c r="A53" s="29"/>
      <c r="B53" s="47">
        <v>2.5603796E7</v>
      </c>
      <c r="C53" s="126"/>
      <c r="D53" s="126"/>
      <c r="E53" s="126"/>
      <c r="F53" s="126"/>
    </row>
    <row r="54">
      <c r="A54" s="127">
        <v>45971.0</v>
      </c>
      <c r="B54" s="42" t="s">
        <v>31</v>
      </c>
      <c r="C54" s="28" t="s">
        <v>347</v>
      </c>
      <c r="D54" s="28">
        <v>10.0</v>
      </c>
      <c r="E54" s="28">
        <v>107.8</v>
      </c>
      <c r="F54" s="116">
        <f t="shared" ref="F54:F71" si="2">E54*D54</f>
        <v>1078</v>
      </c>
    </row>
    <row r="55">
      <c r="A55" s="29"/>
      <c r="B55" s="25">
        <v>2.5603618E7</v>
      </c>
      <c r="C55" s="28" t="s">
        <v>86</v>
      </c>
      <c r="D55" s="28">
        <v>10.0</v>
      </c>
      <c r="E55" s="28">
        <v>77.0</v>
      </c>
      <c r="F55" s="116">
        <f t="shared" si="2"/>
        <v>770</v>
      </c>
    </row>
    <row r="56">
      <c r="A56" s="29"/>
      <c r="B56" s="117"/>
      <c r="C56" s="28" t="s">
        <v>345</v>
      </c>
      <c r="D56" s="28">
        <v>20.0</v>
      </c>
      <c r="E56" s="28">
        <v>28.7</v>
      </c>
      <c r="F56" s="116">
        <f t="shared" si="2"/>
        <v>574</v>
      </c>
    </row>
    <row r="57">
      <c r="A57" s="29"/>
      <c r="B57" s="117"/>
      <c r="C57" s="28" t="s">
        <v>346</v>
      </c>
      <c r="D57" s="28">
        <v>20.0</v>
      </c>
      <c r="E57" s="28">
        <v>21.7</v>
      </c>
      <c r="F57" s="116">
        <f t="shared" si="2"/>
        <v>434</v>
      </c>
    </row>
    <row r="58">
      <c r="A58" s="29"/>
      <c r="B58" s="117"/>
      <c r="C58" s="28" t="s">
        <v>355</v>
      </c>
      <c r="D58" s="28">
        <v>100.0</v>
      </c>
      <c r="E58" s="28">
        <v>4.2</v>
      </c>
      <c r="F58" s="116">
        <f t="shared" si="2"/>
        <v>420</v>
      </c>
    </row>
    <row r="59">
      <c r="A59" s="29"/>
      <c r="B59" s="117"/>
      <c r="C59" s="28" t="s">
        <v>359</v>
      </c>
      <c r="D59" s="28">
        <v>70.0</v>
      </c>
      <c r="E59" s="28">
        <v>6.3</v>
      </c>
      <c r="F59" s="116">
        <f t="shared" si="2"/>
        <v>441</v>
      </c>
    </row>
    <row r="60">
      <c r="A60" s="29"/>
      <c r="B60" s="117"/>
      <c r="C60" s="74" t="s">
        <v>360</v>
      </c>
      <c r="D60" s="28">
        <v>4.0</v>
      </c>
      <c r="E60" s="74">
        <v>1409.8</v>
      </c>
      <c r="F60" s="116">
        <f t="shared" si="2"/>
        <v>5639.2</v>
      </c>
    </row>
    <row r="61">
      <c r="A61" s="29"/>
      <c r="B61" s="117"/>
      <c r="C61" s="74" t="s">
        <v>341</v>
      </c>
      <c r="D61" s="28">
        <v>29.0</v>
      </c>
      <c r="E61" s="74">
        <v>20.3</v>
      </c>
      <c r="F61" s="116">
        <f t="shared" si="2"/>
        <v>588.7</v>
      </c>
    </row>
    <row r="62">
      <c r="A62" s="29"/>
      <c r="B62" s="117"/>
      <c r="C62" s="28"/>
      <c r="D62" s="28"/>
      <c r="E62" s="28"/>
      <c r="F62" s="116">
        <f t="shared" si="2"/>
        <v>0</v>
      </c>
    </row>
    <row r="63">
      <c r="A63" s="29"/>
      <c r="B63" s="117"/>
      <c r="C63" s="28"/>
      <c r="D63" s="28"/>
      <c r="E63" s="28"/>
      <c r="F63" s="116">
        <f t="shared" si="2"/>
        <v>0</v>
      </c>
    </row>
    <row r="64">
      <c r="A64" s="29"/>
      <c r="B64" s="117"/>
      <c r="C64" s="28"/>
      <c r="D64" s="28"/>
      <c r="E64" s="28"/>
      <c r="F64" s="116">
        <f t="shared" si="2"/>
        <v>0</v>
      </c>
    </row>
    <row r="65">
      <c r="A65" s="29"/>
      <c r="B65" s="117"/>
      <c r="C65" s="28"/>
      <c r="D65" s="28"/>
      <c r="E65" s="28"/>
      <c r="F65" s="116">
        <f t="shared" si="2"/>
        <v>0</v>
      </c>
    </row>
    <row r="66">
      <c r="A66" s="29"/>
      <c r="B66" s="117"/>
      <c r="C66" s="28"/>
      <c r="D66" s="28"/>
      <c r="E66" s="28"/>
      <c r="F66" s="116">
        <f t="shared" si="2"/>
        <v>0</v>
      </c>
    </row>
    <row r="67">
      <c r="A67" s="29"/>
      <c r="B67" s="117"/>
      <c r="C67" s="28"/>
      <c r="D67" s="28"/>
      <c r="E67" s="28"/>
      <c r="F67" s="116">
        <f t="shared" si="2"/>
        <v>0</v>
      </c>
    </row>
    <row r="68">
      <c r="A68" s="29"/>
      <c r="B68" s="117"/>
      <c r="C68" s="28"/>
      <c r="D68" s="28"/>
      <c r="E68" s="28"/>
      <c r="F68" s="116">
        <f t="shared" si="2"/>
        <v>0</v>
      </c>
    </row>
    <row r="69">
      <c r="A69" s="29"/>
      <c r="B69" s="117"/>
      <c r="C69" s="28"/>
      <c r="D69" s="28"/>
      <c r="E69" s="28"/>
      <c r="F69" s="116">
        <f t="shared" si="2"/>
        <v>0</v>
      </c>
    </row>
    <row r="70">
      <c r="A70" s="29"/>
      <c r="B70" s="117"/>
      <c r="C70" s="28"/>
      <c r="D70" s="28"/>
      <c r="E70" s="28"/>
      <c r="F70" s="116">
        <f t="shared" si="2"/>
        <v>0</v>
      </c>
    </row>
    <row r="71">
      <c r="A71" s="29"/>
      <c r="B71" s="117"/>
      <c r="C71" s="28"/>
      <c r="D71" s="28"/>
      <c r="E71" s="28"/>
      <c r="F71" s="116">
        <f t="shared" si="2"/>
        <v>0</v>
      </c>
    </row>
    <row r="72">
      <c r="A72" s="30" t="s">
        <v>27</v>
      </c>
      <c r="B72" s="31"/>
      <c r="C72" s="31"/>
      <c r="D72" s="31"/>
      <c r="E72" s="32"/>
      <c r="F72" s="128">
        <f>SUM(F6:F49)</f>
        <v>748221.36</v>
      </c>
    </row>
    <row r="73">
      <c r="F73" s="112"/>
    </row>
    <row r="74">
      <c r="F74" s="112"/>
    </row>
    <row r="75">
      <c r="F75" s="112"/>
    </row>
    <row r="76">
      <c r="F76" s="112"/>
    </row>
    <row r="77">
      <c r="F77" s="112"/>
    </row>
    <row r="78">
      <c r="F78" s="112"/>
    </row>
    <row r="79">
      <c r="F79" s="112"/>
    </row>
    <row r="80">
      <c r="F80" s="112"/>
    </row>
    <row r="81">
      <c r="F81" s="112"/>
    </row>
    <row r="82">
      <c r="F82" s="112"/>
    </row>
    <row r="83">
      <c r="F83" s="112"/>
    </row>
    <row r="84">
      <c r="F84" s="112"/>
    </row>
    <row r="85">
      <c r="F85" s="112"/>
    </row>
    <row r="86">
      <c r="F86" s="112"/>
    </row>
    <row r="87">
      <c r="F87" s="112"/>
    </row>
    <row r="88">
      <c r="F88" s="112"/>
    </row>
    <row r="89">
      <c r="F89" s="112"/>
    </row>
    <row r="90">
      <c r="F90" s="112"/>
    </row>
    <row r="91">
      <c r="F91" s="112"/>
    </row>
    <row r="92">
      <c r="F92" s="112"/>
    </row>
    <row r="93">
      <c r="F93" s="112"/>
    </row>
    <row r="94">
      <c r="F94" s="112"/>
    </row>
    <row r="95">
      <c r="F95" s="112"/>
    </row>
    <row r="96">
      <c r="F96" s="112"/>
    </row>
    <row r="97">
      <c r="F97" s="112"/>
    </row>
    <row r="98">
      <c r="F98" s="112"/>
    </row>
    <row r="99">
      <c r="F99" s="112"/>
    </row>
    <row r="100">
      <c r="F100" s="112"/>
    </row>
    <row r="101">
      <c r="F101" s="112"/>
    </row>
    <row r="102">
      <c r="F102" s="112"/>
    </row>
    <row r="103">
      <c r="F103" s="112"/>
    </row>
    <row r="104">
      <c r="F104" s="112"/>
    </row>
    <row r="105">
      <c r="F105" s="112"/>
    </row>
    <row r="106">
      <c r="F106" s="112"/>
    </row>
    <row r="107">
      <c r="F107" s="112"/>
    </row>
    <row r="108">
      <c r="F108" s="112"/>
    </row>
    <row r="109">
      <c r="F109" s="112"/>
    </row>
    <row r="110">
      <c r="F110" s="112"/>
    </row>
    <row r="111">
      <c r="F111" s="112"/>
    </row>
    <row r="112">
      <c r="F112" s="112"/>
    </row>
    <row r="113">
      <c r="F113" s="112"/>
    </row>
    <row r="114">
      <c r="F114" s="112"/>
    </row>
    <row r="115">
      <c r="F115" s="112"/>
    </row>
    <row r="116">
      <c r="F116" s="112"/>
    </row>
    <row r="117">
      <c r="F117" s="112"/>
    </row>
    <row r="118">
      <c r="F118" s="112"/>
    </row>
    <row r="119">
      <c r="F119" s="112"/>
    </row>
    <row r="120">
      <c r="F120" s="112"/>
    </row>
    <row r="121">
      <c r="F121" s="112"/>
    </row>
    <row r="122">
      <c r="F122" s="112"/>
    </row>
    <row r="123">
      <c r="F123" s="112"/>
    </row>
    <row r="124">
      <c r="F124" s="112"/>
    </row>
    <row r="125">
      <c r="F125" s="112"/>
    </row>
    <row r="126">
      <c r="F126" s="112"/>
    </row>
    <row r="127">
      <c r="F127" s="112"/>
    </row>
    <row r="128">
      <c r="F128" s="112"/>
    </row>
    <row r="129">
      <c r="F129" s="112"/>
    </row>
    <row r="130">
      <c r="F130" s="112"/>
    </row>
    <row r="131">
      <c r="F131" s="112"/>
    </row>
    <row r="132">
      <c r="F132" s="112"/>
    </row>
    <row r="133">
      <c r="F133" s="112"/>
    </row>
    <row r="134">
      <c r="F134" s="112"/>
    </row>
    <row r="135">
      <c r="F135" s="112"/>
    </row>
    <row r="136">
      <c r="F136" s="112"/>
    </row>
    <row r="137">
      <c r="F137" s="112"/>
    </row>
    <row r="138">
      <c r="F138" s="112"/>
    </row>
    <row r="139">
      <c r="F139" s="112"/>
    </row>
    <row r="140">
      <c r="F140" s="112"/>
    </row>
    <row r="141">
      <c r="F141" s="112"/>
    </row>
    <row r="142">
      <c r="F142" s="112"/>
    </row>
    <row r="143">
      <c r="F143" s="112"/>
    </row>
    <row r="144">
      <c r="F144" s="112"/>
    </row>
    <row r="145">
      <c r="F145" s="112"/>
    </row>
    <row r="146">
      <c r="F146" s="112"/>
    </row>
    <row r="147">
      <c r="F147" s="112"/>
    </row>
    <row r="148">
      <c r="F148" s="112"/>
    </row>
    <row r="149">
      <c r="F149" s="112"/>
    </row>
    <row r="150">
      <c r="F150" s="112"/>
    </row>
    <row r="151">
      <c r="F151" s="112"/>
    </row>
    <row r="152">
      <c r="F152" s="112"/>
    </row>
    <row r="153">
      <c r="F153" s="112"/>
    </row>
    <row r="154">
      <c r="F154" s="112"/>
    </row>
    <row r="155">
      <c r="F155" s="112"/>
    </row>
    <row r="156">
      <c r="F156" s="112"/>
    </row>
    <row r="157">
      <c r="F157" s="112"/>
    </row>
    <row r="158">
      <c r="F158" s="112"/>
    </row>
    <row r="159">
      <c r="F159" s="112"/>
    </row>
    <row r="160">
      <c r="F160" s="112"/>
    </row>
    <row r="161">
      <c r="F161" s="112"/>
    </row>
    <row r="162">
      <c r="F162" s="112"/>
    </row>
    <row r="163">
      <c r="F163" s="112"/>
    </row>
    <row r="164">
      <c r="F164" s="112"/>
    </row>
    <row r="165">
      <c r="F165" s="112"/>
    </row>
    <row r="166">
      <c r="F166" s="112"/>
    </row>
    <row r="167">
      <c r="F167" s="112"/>
    </row>
    <row r="168">
      <c r="F168" s="112"/>
    </row>
    <row r="169">
      <c r="F169" s="112"/>
    </row>
    <row r="170">
      <c r="F170" s="112"/>
    </row>
    <row r="171">
      <c r="F171" s="112"/>
    </row>
    <row r="172">
      <c r="F172" s="112"/>
    </row>
    <row r="173">
      <c r="F173" s="112"/>
    </row>
    <row r="174">
      <c r="F174" s="112"/>
    </row>
    <row r="175">
      <c r="F175" s="112"/>
    </row>
    <row r="176">
      <c r="F176" s="112"/>
    </row>
    <row r="177">
      <c r="F177" s="112"/>
    </row>
    <row r="178">
      <c r="F178" s="112"/>
    </row>
    <row r="179">
      <c r="F179" s="112"/>
    </row>
    <row r="180">
      <c r="F180" s="112"/>
    </row>
    <row r="181">
      <c r="F181" s="112"/>
    </row>
    <row r="182">
      <c r="F182" s="112"/>
    </row>
    <row r="183">
      <c r="F183" s="112"/>
    </row>
    <row r="184">
      <c r="F184" s="112"/>
    </row>
    <row r="185">
      <c r="F185" s="112"/>
    </row>
    <row r="186">
      <c r="F186" s="112"/>
    </row>
    <row r="187">
      <c r="F187" s="112"/>
    </row>
    <row r="188">
      <c r="F188" s="112"/>
    </row>
    <row r="189">
      <c r="F189" s="112"/>
    </row>
    <row r="190">
      <c r="F190" s="112"/>
    </row>
    <row r="191">
      <c r="F191" s="112"/>
    </row>
    <row r="192">
      <c r="F192" s="112"/>
    </row>
    <row r="193">
      <c r="F193" s="112"/>
    </row>
    <row r="194">
      <c r="F194" s="112"/>
    </row>
    <row r="195">
      <c r="F195" s="112"/>
    </row>
    <row r="196">
      <c r="F196" s="112"/>
    </row>
    <row r="197">
      <c r="F197" s="112"/>
    </row>
    <row r="198">
      <c r="F198" s="112"/>
    </row>
    <row r="199">
      <c r="F199" s="112"/>
    </row>
    <row r="200">
      <c r="F200" s="112"/>
    </row>
    <row r="201">
      <c r="F201" s="112"/>
    </row>
    <row r="202">
      <c r="F202" s="112"/>
    </row>
    <row r="203">
      <c r="F203" s="112"/>
    </row>
    <row r="204">
      <c r="F204" s="112"/>
    </row>
    <row r="205">
      <c r="F205" s="112"/>
    </row>
    <row r="206">
      <c r="F206" s="112"/>
    </row>
    <row r="207">
      <c r="F207" s="112"/>
    </row>
    <row r="208">
      <c r="F208" s="112"/>
    </row>
    <row r="209">
      <c r="F209" s="112"/>
    </row>
    <row r="210">
      <c r="F210" s="112"/>
    </row>
    <row r="211">
      <c r="F211" s="112"/>
    </row>
    <row r="212">
      <c r="F212" s="112"/>
    </row>
    <row r="213">
      <c r="F213" s="112"/>
    </row>
    <row r="214">
      <c r="F214" s="112"/>
    </row>
    <row r="215">
      <c r="F215" s="112"/>
    </row>
    <row r="216">
      <c r="F216" s="112"/>
    </row>
    <row r="217">
      <c r="F217" s="112"/>
    </row>
    <row r="218">
      <c r="F218" s="112"/>
    </row>
    <row r="219">
      <c r="F219" s="112"/>
    </row>
    <row r="220">
      <c r="F220" s="112"/>
    </row>
    <row r="221">
      <c r="F221" s="112"/>
    </row>
    <row r="222">
      <c r="F222" s="112"/>
    </row>
    <row r="223">
      <c r="F223" s="112"/>
    </row>
    <row r="224">
      <c r="F224" s="112"/>
    </row>
    <row r="225">
      <c r="F225" s="112"/>
    </row>
    <row r="226">
      <c r="F226" s="112"/>
    </row>
    <row r="227">
      <c r="F227" s="112"/>
    </row>
    <row r="228">
      <c r="F228" s="112"/>
    </row>
    <row r="229">
      <c r="F229" s="112"/>
    </row>
    <row r="230">
      <c r="F230" s="112"/>
    </row>
    <row r="231">
      <c r="F231" s="112"/>
    </row>
    <row r="232">
      <c r="F232" s="112"/>
    </row>
    <row r="233">
      <c r="F233" s="112"/>
    </row>
    <row r="234">
      <c r="F234" s="112"/>
    </row>
    <row r="235">
      <c r="F235" s="112"/>
    </row>
    <row r="236">
      <c r="F236" s="112"/>
    </row>
    <row r="237">
      <c r="F237" s="112"/>
    </row>
    <row r="238">
      <c r="F238" s="112"/>
    </row>
    <row r="239">
      <c r="F239" s="112"/>
    </row>
    <row r="240">
      <c r="F240" s="112"/>
    </row>
    <row r="241">
      <c r="F241" s="112"/>
    </row>
    <row r="242">
      <c r="F242" s="112"/>
    </row>
    <row r="243">
      <c r="F243" s="112"/>
    </row>
    <row r="244">
      <c r="F244" s="112"/>
    </row>
    <row r="245">
      <c r="F245" s="112"/>
    </row>
    <row r="246">
      <c r="F246" s="112"/>
    </row>
    <row r="247">
      <c r="F247" s="112"/>
    </row>
    <row r="248">
      <c r="F248" s="112"/>
    </row>
    <row r="249">
      <c r="F249" s="112"/>
    </row>
    <row r="250">
      <c r="F250" s="112"/>
    </row>
    <row r="251">
      <c r="F251" s="112"/>
    </row>
    <row r="252">
      <c r="F252" s="112"/>
    </row>
    <row r="253">
      <c r="F253" s="112"/>
    </row>
    <row r="254">
      <c r="F254" s="112"/>
    </row>
    <row r="255">
      <c r="F255" s="112"/>
    </row>
    <row r="256">
      <c r="F256" s="112"/>
    </row>
    <row r="257">
      <c r="F257" s="112"/>
    </row>
    <row r="258">
      <c r="F258" s="112"/>
    </row>
    <row r="259">
      <c r="F259" s="112"/>
    </row>
    <row r="260">
      <c r="F260" s="112"/>
    </row>
    <row r="261">
      <c r="F261" s="112"/>
    </row>
    <row r="262">
      <c r="F262" s="112"/>
    </row>
    <row r="263">
      <c r="F263" s="112"/>
    </row>
    <row r="264">
      <c r="F264" s="112"/>
    </row>
    <row r="265">
      <c r="F265" s="112"/>
    </row>
    <row r="266">
      <c r="F266" s="112"/>
    </row>
    <row r="267">
      <c r="F267" s="112"/>
    </row>
    <row r="268">
      <c r="F268" s="112"/>
    </row>
    <row r="269">
      <c r="F269" s="112"/>
    </row>
    <row r="270">
      <c r="F270" s="112"/>
    </row>
    <row r="271">
      <c r="F271" s="112"/>
    </row>
    <row r="272">
      <c r="F272" s="112"/>
    </row>
    <row r="273">
      <c r="F273" s="112"/>
    </row>
    <row r="274">
      <c r="F274" s="112"/>
    </row>
    <row r="275">
      <c r="F275" s="112"/>
    </row>
    <row r="276">
      <c r="F276" s="112"/>
    </row>
    <row r="277">
      <c r="F277" s="112"/>
    </row>
    <row r="278">
      <c r="F278" s="112"/>
    </row>
    <row r="279">
      <c r="F279" s="112"/>
    </row>
    <row r="280">
      <c r="F280" s="112"/>
    </row>
    <row r="281">
      <c r="F281" s="112"/>
    </row>
    <row r="282">
      <c r="F282" s="112"/>
    </row>
    <row r="283">
      <c r="F283" s="112"/>
    </row>
    <row r="284">
      <c r="F284" s="112"/>
    </row>
    <row r="285">
      <c r="F285" s="112"/>
    </row>
    <row r="286">
      <c r="F286" s="112"/>
    </row>
    <row r="287">
      <c r="F287" s="112"/>
    </row>
    <row r="288">
      <c r="F288" s="112"/>
    </row>
    <row r="289">
      <c r="F289" s="112"/>
    </row>
    <row r="290">
      <c r="F290" s="112"/>
    </row>
    <row r="291">
      <c r="F291" s="112"/>
    </row>
    <row r="292">
      <c r="F292" s="112"/>
    </row>
    <row r="293">
      <c r="F293" s="112"/>
    </row>
    <row r="294">
      <c r="F294" s="112"/>
    </row>
    <row r="295">
      <c r="F295" s="112"/>
    </row>
    <row r="296">
      <c r="F296" s="112"/>
    </row>
    <row r="297">
      <c r="F297" s="112"/>
    </row>
    <row r="298">
      <c r="F298" s="112"/>
    </row>
    <row r="299">
      <c r="F299" s="112"/>
    </row>
    <row r="300">
      <c r="F300" s="112"/>
    </row>
    <row r="301">
      <c r="F301" s="112"/>
    </row>
    <row r="302">
      <c r="F302" s="112"/>
    </row>
    <row r="303">
      <c r="F303" s="112"/>
    </row>
    <row r="304">
      <c r="F304" s="112"/>
    </row>
    <row r="305">
      <c r="F305" s="112"/>
    </row>
    <row r="306">
      <c r="F306" s="112"/>
    </row>
    <row r="307">
      <c r="F307" s="112"/>
    </row>
    <row r="308">
      <c r="F308" s="112"/>
    </row>
    <row r="309">
      <c r="F309" s="112"/>
    </row>
    <row r="310">
      <c r="F310" s="112"/>
    </row>
    <row r="311">
      <c r="F311" s="112"/>
    </row>
    <row r="312">
      <c r="F312" s="112"/>
    </row>
    <row r="313">
      <c r="F313" s="112"/>
    </row>
    <row r="314">
      <c r="F314" s="112"/>
    </row>
    <row r="315">
      <c r="F315" s="112"/>
    </row>
    <row r="316">
      <c r="F316" s="112"/>
    </row>
    <row r="317">
      <c r="F317" s="112"/>
    </row>
    <row r="318">
      <c r="F318" s="112"/>
    </row>
    <row r="319">
      <c r="F319" s="112"/>
    </row>
    <row r="320">
      <c r="F320" s="112"/>
    </row>
    <row r="321">
      <c r="F321" s="112"/>
    </row>
    <row r="322">
      <c r="F322" s="112"/>
    </row>
    <row r="323">
      <c r="F323" s="112"/>
    </row>
    <row r="324">
      <c r="F324" s="112"/>
    </row>
    <row r="325">
      <c r="F325" s="112"/>
    </row>
    <row r="326">
      <c r="F326" s="112"/>
    </row>
    <row r="327">
      <c r="F327" s="112"/>
    </row>
    <row r="328">
      <c r="F328" s="112"/>
    </row>
    <row r="329">
      <c r="F329" s="112"/>
    </row>
    <row r="330">
      <c r="F330" s="112"/>
    </row>
    <row r="331">
      <c r="F331" s="112"/>
    </row>
    <row r="332">
      <c r="F332" s="112"/>
    </row>
    <row r="333">
      <c r="F333" s="112"/>
    </row>
    <row r="334">
      <c r="F334" s="112"/>
    </row>
    <row r="335">
      <c r="F335" s="112"/>
    </row>
    <row r="336">
      <c r="F336" s="112"/>
    </row>
    <row r="337">
      <c r="F337" s="112"/>
    </row>
    <row r="338">
      <c r="F338" s="112"/>
    </row>
    <row r="339">
      <c r="F339" s="112"/>
    </row>
    <row r="340">
      <c r="F340" s="112"/>
    </row>
    <row r="341">
      <c r="F341" s="112"/>
    </row>
    <row r="342">
      <c r="F342" s="112"/>
    </row>
    <row r="343">
      <c r="F343" s="112"/>
    </row>
    <row r="344">
      <c r="F344" s="112"/>
    </row>
    <row r="345">
      <c r="F345" s="112"/>
    </row>
    <row r="346">
      <c r="F346" s="112"/>
    </row>
    <row r="347">
      <c r="F347" s="112"/>
    </row>
    <row r="348">
      <c r="F348" s="112"/>
    </row>
    <row r="349">
      <c r="F349" s="112"/>
    </row>
    <row r="350">
      <c r="F350" s="112"/>
    </row>
    <row r="351">
      <c r="F351" s="112"/>
    </row>
    <row r="352">
      <c r="F352" s="112"/>
    </row>
    <row r="353">
      <c r="F353" s="112"/>
    </row>
    <row r="354">
      <c r="F354" s="112"/>
    </row>
    <row r="355">
      <c r="F355" s="112"/>
    </row>
    <row r="356">
      <c r="F356" s="112"/>
    </row>
    <row r="357">
      <c r="F357" s="112"/>
    </row>
    <row r="358">
      <c r="F358" s="112"/>
    </row>
    <row r="359">
      <c r="F359" s="112"/>
    </row>
    <row r="360">
      <c r="F360" s="112"/>
    </row>
    <row r="361">
      <c r="F361" s="112"/>
    </row>
    <row r="362">
      <c r="F362" s="112"/>
    </row>
    <row r="363">
      <c r="F363" s="112"/>
    </row>
    <row r="364">
      <c r="F364" s="112"/>
    </row>
    <row r="365">
      <c r="F365" s="112"/>
    </row>
    <row r="366">
      <c r="F366" s="112"/>
    </row>
    <row r="367">
      <c r="F367" s="112"/>
    </row>
    <row r="368">
      <c r="F368" s="112"/>
    </row>
    <row r="369">
      <c r="F369" s="112"/>
    </row>
    <row r="370">
      <c r="F370" s="112"/>
    </row>
    <row r="371">
      <c r="F371" s="112"/>
    </row>
    <row r="372">
      <c r="F372" s="112"/>
    </row>
    <row r="373">
      <c r="F373" s="112"/>
    </row>
    <row r="374">
      <c r="F374" s="112"/>
    </row>
    <row r="375">
      <c r="F375" s="112"/>
    </row>
    <row r="376">
      <c r="F376" s="112"/>
    </row>
    <row r="377">
      <c r="F377" s="112"/>
    </row>
    <row r="378">
      <c r="F378" s="112"/>
    </row>
    <row r="379">
      <c r="F379" s="112"/>
    </row>
    <row r="380">
      <c r="F380" s="112"/>
    </row>
    <row r="381">
      <c r="F381" s="112"/>
    </row>
    <row r="382">
      <c r="F382" s="112"/>
    </row>
    <row r="383">
      <c r="F383" s="112"/>
    </row>
    <row r="384">
      <c r="F384" s="112"/>
    </row>
    <row r="385">
      <c r="F385" s="112"/>
    </row>
    <row r="386">
      <c r="F386" s="112"/>
    </row>
    <row r="387">
      <c r="F387" s="112"/>
    </row>
    <row r="388">
      <c r="F388" s="112"/>
    </row>
    <row r="389">
      <c r="F389" s="112"/>
    </row>
    <row r="390">
      <c r="F390" s="112"/>
    </row>
    <row r="391">
      <c r="F391" s="112"/>
    </row>
    <row r="392">
      <c r="F392" s="112"/>
    </row>
    <row r="393">
      <c r="F393" s="112"/>
    </row>
    <row r="394">
      <c r="F394" s="112"/>
    </row>
    <row r="395">
      <c r="F395" s="112"/>
    </row>
    <row r="396">
      <c r="F396" s="112"/>
    </row>
    <row r="397">
      <c r="F397" s="112"/>
    </row>
    <row r="398">
      <c r="F398" s="112"/>
    </row>
    <row r="399">
      <c r="F399" s="112"/>
    </row>
    <row r="400">
      <c r="F400" s="112"/>
    </row>
    <row r="401">
      <c r="F401" s="112"/>
    </row>
    <row r="402">
      <c r="F402" s="112"/>
    </row>
    <row r="403">
      <c r="F403" s="112"/>
    </row>
    <row r="404">
      <c r="F404" s="112"/>
    </row>
    <row r="405">
      <c r="F405" s="112"/>
    </row>
    <row r="406">
      <c r="F406" s="112"/>
    </row>
    <row r="407">
      <c r="F407" s="112"/>
    </row>
    <row r="408">
      <c r="F408" s="112"/>
    </row>
    <row r="409">
      <c r="F409" s="112"/>
    </row>
    <row r="410">
      <c r="F410" s="112"/>
    </row>
    <row r="411">
      <c r="F411" s="112"/>
    </row>
    <row r="412">
      <c r="F412" s="112"/>
    </row>
    <row r="413">
      <c r="F413" s="112"/>
    </row>
    <row r="414">
      <c r="F414" s="112"/>
    </row>
    <row r="415">
      <c r="F415" s="112"/>
    </row>
    <row r="416">
      <c r="F416" s="112"/>
    </row>
    <row r="417">
      <c r="F417" s="112"/>
    </row>
    <row r="418">
      <c r="F418" s="112"/>
    </row>
    <row r="419">
      <c r="F419" s="112"/>
    </row>
    <row r="420">
      <c r="F420" s="112"/>
    </row>
    <row r="421">
      <c r="F421" s="112"/>
    </row>
    <row r="422">
      <c r="F422" s="112"/>
    </row>
    <row r="423">
      <c r="F423" s="112"/>
    </row>
    <row r="424">
      <c r="F424" s="112"/>
    </row>
    <row r="425">
      <c r="F425" s="112"/>
    </row>
    <row r="426">
      <c r="F426" s="112"/>
    </row>
    <row r="427">
      <c r="F427" s="112"/>
    </row>
    <row r="428">
      <c r="F428" s="112"/>
    </row>
    <row r="429">
      <c r="F429" s="112"/>
    </row>
    <row r="430">
      <c r="F430" s="112"/>
    </row>
    <row r="431">
      <c r="F431" s="112"/>
    </row>
    <row r="432">
      <c r="F432" s="112"/>
    </row>
    <row r="433">
      <c r="F433" s="112"/>
    </row>
    <row r="434">
      <c r="F434" s="112"/>
    </row>
    <row r="435">
      <c r="F435" s="112"/>
    </row>
    <row r="436">
      <c r="F436" s="112"/>
    </row>
    <row r="437">
      <c r="F437" s="112"/>
    </row>
    <row r="438">
      <c r="F438" s="112"/>
    </row>
    <row r="439">
      <c r="F439" s="112"/>
    </row>
    <row r="440">
      <c r="F440" s="112"/>
    </row>
    <row r="441">
      <c r="F441" s="112"/>
    </row>
    <row r="442">
      <c r="F442" s="112"/>
    </row>
    <row r="443">
      <c r="F443" s="112"/>
    </row>
    <row r="444">
      <c r="F444" s="112"/>
    </row>
    <row r="445">
      <c r="F445" s="112"/>
    </row>
    <row r="446">
      <c r="F446" s="112"/>
    </row>
    <row r="447">
      <c r="F447" s="112"/>
    </row>
    <row r="448">
      <c r="F448" s="112"/>
    </row>
    <row r="449">
      <c r="F449" s="112"/>
    </row>
    <row r="450">
      <c r="F450" s="112"/>
    </row>
    <row r="451">
      <c r="F451" s="112"/>
    </row>
    <row r="452">
      <c r="F452" s="112"/>
    </row>
    <row r="453">
      <c r="F453" s="112"/>
    </row>
    <row r="454">
      <c r="F454" s="112"/>
    </row>
    <row r="455">
      <c r="F455" s="112"/>
    </row>
    <row r="456">
      <c r="F456" s="112"/>
    </row>
    <row r="457">
      <c r="F457" s="112"/>
    </row>
    <row r="458">
      <c r="F458" s="112"/>
    </row>
    <row r="459">
      <c r="F459" s="112"/>
    </row>
    <row r="460">
      <c r="F460" s="112"/>
    </row>
    <row r="461">
      <c r="F461" s="112"/>
    </row>
    <row r="462">
      <c r="F462" s="112"/>
    </row>
    <row r="463">
      <c r="F463" s="112"/>
    </row>
    <row r="464">
      <c r="F464" s="112"/>
    </row>
    <row r="465">
      <c r="F465" s="112"/>
    </row>
    <row r="466">
      <c r="F466" s="112"/>
    </row>
    <row r="467">
      <c r="F467" s="112"/>
    </row>
    <row r="468">
      <c r="F468" s="112"/>
    </row>
    <row r="469">
      <c r="F469" s="112"/>
    </row>
    <row r="470">
      <c r="F470" s="112"/>
    </row>
    <row r="471">
      <c r="F471" s="112"/>
    </row>
    <row r="472">
      <c r="F472" s="112"/>
    </row>
    <row r="473">
      <c r="F473" s="112"/>
    </row>
    <row r="474">
      <c r="F474" s="112"/>
    </row>
    <row r="475">
      <c r="F475" s="112"/>
    </row>
    <row r="476">
      <c r="F476" s="112"/>
    </row>
    <row r="477">
      <c r="F477" s="112"/>
    </row>
    <row r="478">
      <c r="F478" s="112"/>
    </row>
    <row r="479">
      <c r="F479" s="112"/>
    </row>
    <row r="480">
      <c r="F480" s="112"/>
    </row>
    <row r="481">
      <c r="F481" s="112"/>
    </row>
    <row r="482">
      <c r="F482" s="112"/>
    </row>
    <row r="483">
      <c r="F483" s="112"/>
    </row>
    <row r="484">
      <c r="F484" s="112"/>
    </row>
    <row r="485">
      <c r="F485" s="112"/>
    </row>
    <row r="486">
      <c r="F486" s="112"/>
    </row>
    <row r="487">
      <c r="F487" s="112"/>
    </row>
    <row r="488">
      <c r="F488" s="112"/>
    </row>
    <row r="489">
      <c r="F489" s="112"/>
    </row>
    <row r="490">
      <c r="F490" s="112"/>
    </row>
    <row r="491">
      <c r="F491" s="112"/>
    </row>
    <row r="492">
      <c r="F492" s="112"/>
    </row>
    <row r="493">
      <c r="F493" s="112"/>
    </row>
    <row r="494">
      <c r="F494" s="112"/>
    </row>
    <row r="495">
      <c r="F495" s="112"/>
    </row>
    <row r="496">
      <c r="F496" s="112"/>
    </row>
    <row r="497">
      <c r="F497" s="112"/>
    </row>
    <row r="498">
      <c r="F498" s="112"/>
    </row>
    <row r="499">
      <c r="F499" s="112"/>
    </row>
    <row r="500">
      <c r="F500" s="112"/>
    </row>
    <row r="501">
      <c r="F501" s="112"/>
    </row>
    <row r="502">
      <c r="F502" s="112"/>
    </row>
    <row r="503">
      <c r="F503" s="112"/>
    </row>
    <row r="504">
      <c r="F504" s="112"/>
    </row>
    <row r="505">
      <c r="F505" s="112"/>
    </row>
    <row r="506">
      <c r="F506" s="112"/>
    </row>
    <row r="507">
      <c r="F507" s="112"/>
    </row>
    <row r="508">
      <c r="F508" s="112"/>
    </row>
    <row r="509">
      <c r="F509" s="112"/>
    </row>
    <row r="510">
      <c r="F510" s="112"/>
    </row>
    <row r="511">
      <c r="F511" s="112"/>
    </row>
    <row r="512">
      <c r="F512" s="112"/>
    </row>
    <row r="513">
      <c r="F513" s="112"/>
    </row>
    <row r="514">
      <c r="F514" s="112"/>
    </row>
    <row r="515">
      <c r="F515" s="112"/>
    </row>
    <row r="516">
      <c r="F516" s="112"/>
    </row>
    <row r="517">
      <c r="F517" s="112"/>
    </row>
    <row r="518">
      <c r="F518" s="112"/>
    </row>
    <row r="519">
      <c r="F519" s="112"/>
    </row>
    <row r="520">
      <c r="F520" s="112"/>
    </row>
    <row r="521">
      <c r="F521" s="112"/>
    </row>
    <row r="522">
      <c r="F522" s="112"/>
    </row>
    <row r="523">
      <c r="F523" s="112"/>
    </row>
    <row r="524">
      <c r="F524" s="112"/>
    </row>
    <row r="525">
      <c r="F525" s="112"/>
    </row>
    <row r="526">
      <c r="F526" s="112"/>
    </row>
    <row r="527">
      <c r="F527" s="112"/>
    </row>
    <row r="528">
      <c r="F528" s="112"/>
    </row>
    <row r="529">
      <c r="F529" s="112"/>
    </row>
    <row r="530">
      <c r="F530" s="112"/>
    </row>
    <row r="531">
      <c r="F531" s="112"/>
    </row>
    <row r="532">
      <c r="F532" s="112"/>
    </row>
    <row r="533">
      <c r="F533" s="112"/>
    </row>
    <row r="534">
      <c r="F534" s="112"/>
    </row>
    <row r="535">
      <c r="F535" s="112"/>
    </row>
    <row r="536">
      <c r="F536" s="112"/>
    </row>
    <row r="537">
      <c r="F537" s="112"/>
    </row>
    <row r="538">
      <c r="F538" s="112"/>
    </row>
    <row r="539">
      <c r="F539" s="112"/>
    </row>
    <row r="540">
      <c r="F540" s="112"/>
    </row>
    <row r="541">
      <c r="F541" s="112"/>
    </row>
    <row r="542">
      <c r="F542" s="112"/>
    </row>
    <row r="543">
      <c r="F543" s="112"/>
    </row>
    <row r="544">
      <c r="F544" s="112"/>
    </row>
    <row r="545">
      <c r="F545" s="112"/>
    </row>
    <row r="546">
      <c r="F546" s="112"/>
    </row>
    <row r="547">
      <c r="F547" s="112"/>
    </row>
    <row r="548">
      <c r="F548" s="112"/>
    </row>
    <row r="549">
      <c r="F549" s="112"/>
    </row>
    <row r="550">
      <c r="F550" s="112"/>
    </row>
    <row r="551">
      <c r="F551" s="112"/>
    </row>
    <row r="552">
      <c r="F552" s="112"/>
    </row>
    <row r="553">
      <c r="F553" s="112"/>
    </row>
    <row r="554">
      <c r="F554" s="112"/>
    </row>
    <row r="555">
      <c r="F555" s="112"/>
    </row>
    <row r="556">
      <c r="F556" s="112"/>
    </row>
    <row r="557">
      <c r="F557" s="112"/>
    </row>
    <row r="558">
      <c r="F558" s="112"/>
    </row>
    <row r="559">
      <c r="F559" s="112"/>
    </row>
    <row r="560">
      <c r="F560" s="112"/>
    </row>
    <row r="561">
      <c r="F561" s="112"/>
    </row>
    <row r="562">
      <c r="F562" s="112"/>
    </row>
    <row r="563">
      <c r="F563" s="112"/>
    </row>
    <row r="564">
      <c r="F564" s="112"/>
    </row>
    <row r="565">
      <c r="F565" s="112"/>
    </row>
    <row r="566">
      <c r="F566" s="112"/>
    </row>
    <row r="567">
      <c r="F567" s="112"/>
    </row>
    <row r="568">
      <c r="F568" s="112"/>
    </row>
    <row r="569">
      <c r="F569" s="112"/>
    </row>
    <row r="570">
      <c r="F570" s="112"/>
    </row>
    <row r="571">
      <c r="F571" s="112"/>
    </row>
    <row r="572">
      <c r="F572" s="112"/>
    </row>
    <row r="573">
      <c r="F573" s="112"/>
    </row>
    <row r="574">
      <c r="F574" s="112"/>
    </row>
    <row r="575">
      <c r="F575" s="112"/>
    </row>
    <row r="576">
      <c r="F576" s="112"/>
    </row>
    <row r="577">
      <c r="F577" s="112"/>
    </row>
    <row r="578">
      <c r="F578" s="112"/>
    </row>
    <row r="579">
      <c r="F579" s="112"/>
    </row>
    <row r="580">
      <c r="F580" s="112"/>
    </row>
    <row r="581">
      <c r="F581" s="112"/>
    </row>
    <row r="582">
      <c r="F582" s="112"/>
    </row>
    <row r="583">
      <c r="F583" s="112"/>
    </row>
    <row r="584">
      <c r="F584" s="112"/>
    </row>
    <row r="585">
      <c r="F585" s="112"/>
    </row>
    <row r="586">
      <c r="F586" s="112"/>
    </row>
    <row r="587">
      <c r="F587" s="112"/>
    </row>
    <row r="588">
      <c r="F588" s="112"/>
    </row>
    <row r="589">
      <c r="F589" s="112"/>
    </row>
    <row r="590">
      <c r="F590" s="112"/>
    </row>
    <row r="591">
      <c r="F591" s="112"/>
    </row>
    <row r="592">
      <c r="F592" s="112"/>
    </row>
    <row r="593">
      <c r="F593" s="112"/>
    </row>
    <row r="594">
      <c r="F594" s="112"/>
    </row>
    <row r="595">
      <c r="F595" s="112"/>
    </row>
    <row r="596">
      <c r="F596" s="112"/>
    </row>
    <row r="597">
      <c r="F597" s="112"/>
    </row>
    <row r="598">
      <c r="F598" s="112"/>
    </row>
    <row r="599">
      <c r="F599" s="112"/>
    </row>
    <row r="600">
      <c r="F600" s="112"/>
    </row>
    <row r="601">
      <c r="F601" s="112"/>
    </row>
    <row r="602">
      <c r="F602" s="112"/>
    </row>
    <row r="603">
      <c r="F603" s="112"/>
    </row>
    <row r="604">
      <c r="F604" s="112"/>
    </row>
    <row r="605">
      <c r="F605" s="112"/>
    </row>
    <row r="606">
      <c r="F606" s="112"/>
    </row>
    <row r="607">
      <c r="F607" s="112"/>
    </row>
    <row r="608">
      <c r="F608" s="112"/>
    </row>
    <row r="609">
      <c r="F609" s="112"/>
    </row>
    <row r="610">
      <c r="F610" s="112"/>
    </row>
    <row r="611">
      <c r="F611" s="112"/>
    </row>
    <row r="612">
      <c r="F612" s="112"/>
    </row>
    <row r="613">
      <c r="F613" s="112"/>
    </row>
    <row r="614">
      <c r="F614" s="112"/>
    </row>
    <row r="615">
      <c r="F615" s="112"/>
    </row>
    <row r="616">
      <c r="F616" s="112"/>
    </row>
    <row r="617">
      <c r="F617" s="112"/>
    </row>
    <row r="618">
      <c r="F618" s="112"/>
    </row>
    <row r="619">
      <c r="F619" s="112"/>
    </row>
    <row r="620">
      <c r="F620" s="112"/>
    </row>
    <row r="621">
      <c r="F621" s="112"/>
    </row>
    <row r="622">
      <c r="F622" s="112"/>
    </row>
    <row r="623">
      <c r="F623" s="112"/>
    </row>
    <row r="624">
      <c r="F624" s="112"/>
    </row>
    <row r="625">
      <c r="F625" s="112"/>
    </row>
    <row r="626">
      <c r="F626" s="112"/>
    </row>
    <row r="627">
      <c r="F627" s="112"/>
    </row>
    <row r="628">
      <c r="F628" s="112"/>
    </row>
    <row r="629">
      <c r="F629" s="112"/>
    </row>
    <row r="630">
      <c r="F630" s="112"/>
    </row>
    <row r="631">
      <c r="F631" s="112"/>
    </row>
    <row r="632">
      <c r="F632" s="112"/>
    </row>
    <row r="633">
      <c r="F633" s="112"/>
    </row>
    <row r="634">
      <c r="F634" s="112"/>
    </row>
    <row r="635">
      <c r="F635" s="112"/>
    </row>
    <row r="636">
      <c r="F636" s="112"/>
    </row>
    <row r="637">
      <c r="F637" s="112"/>
    </row>
    <row r="638">
      <c r="F638" s="112"/>
    </row>
    <row r="639">
      <c r="F639" s="112"/>
    </row>
    <row r="640">
      <c r="F640" s="112"/>
    </row>
    <row r="641">
      <c r="F641" s="112"/>
    </row>
    <row r="642">
      <c r="F642" s="112"/>
    </row>
    <row r="643">
      <c r="F643" s="112"/>
    </row>
    <row r="644">
      <c r="F644" s="112"/>
    </row>
    <row r="645">
      <c r="F645" s="112"/>
    </row>
    <row r="646">
      <c r="F646" s="112"/>
    </row>
    <row r="647">
      <c r="F647" s="112"/>
    </row>
    <row r="648">
      <c r="F648" s="112"/>
    </row>
    <row r="649">
      <c r="F649" s="112"/>
    </row>
    <row r="650">
      <c r="F650" s="112"/>
    </row>
    <row r="651">
      <c r="F651" s="112"/>
    </row>
    <row r="652">
      <c r="F652" s="112"/>
    </row>
    <row r="653">
      <c r="F653" s="112"/>
    </row>
    <row r="654">
      <c r="F654" s="112"/>
    </row>
    <row r="655">
      <c r="F655" s="112"/>
    </row>
    <row r="656">
      <c r="F656" s="112"/>
    </row>
    <row r="657">
      <c r="F657" s="112"/>
    </row>
    <row r="658">
      <c r="F658" s="112"/>
    </row>
    <row r="659">
      <c r="F659" s="112"/>
    </row>
    <row r="660">
      <c r="F660" s="112"/>
    </row>
    <row r="661">
      <c r="F661" s="112"/>
    </row>
    <row r="662">
      <c r="F662" s="112"/>
    </row>
    <row r="663">
      <c r="F663" s="112"/>
    </row>
    <row r="664">
      <c r="F664" s="112"/>
    </row>
    <row r="665">
      <c r="F665" s="112"/>
    </row>
    <row r="666">
      <c r="F666" s="112"/>
    </row>
    <row r="667">
      <c r="F667" s="112"/>
    </row>
    <row r="668">
      <c r="F668" s="112"/>
    </row>
    <row r="669">
      <c r="F669" s="112"/>
    </row>
    <row r="670">
      <c r="F670" s="112"/>
    </row>
    <row r="671">
      <c r="F671" s="112"/>
    </row>
    <row r="672">
      <c r="F672" s="112"/>
    </row>
    <row r="673">
      <c r="F673" s="112"/>
    </row>
    <row r="674">
      <c r="F674" s="112"/>
    </row>
    <row r="675">
      <c r="F675" s="112"/>
    </row>
    <row r="676">
      <c r="F676" s="112"/>
    </row>
    <row r="677">
      <c r="F677" s="112"/>
    </row>
    <row r="678">
      <c r="F678" s="112"/>
    </row>
    <row r="679">
      <c r="F679" s="112"/>
    </row>
    <row r="680">
      <c r="F680" s="112"/>
    </row>
    <row r="681">
      <c r="F681" s="112"/>
    </row>
    <row r="682">
      <c r="F682" s="112"/>
    </row>
    <row r="683">
      <c r="F683" s="112"/>
    </row>
    <row r="684">
      <c r="F684" s="112"/>
    </row>
    <row r="685">
      <c r="F685" s="112"/>
    </row>
    <row r="686">
      <c r="F686" s="112"/>
    </row>
    <row r="687">
      <c r="F687" s="112"/>
    </row>
    <row r="688">
      <c r="F688" s="112"/>
    </row>
    <row r="689">
      <c r="F689" s="112"/>
    </row>
    <row r="690">
      <c r="F690" s="112"/>
    </row>
    <row r="691">
      <c r="F691" s="112"/>
    </row>
    <row r="692">
      <c r="F692" s="112"/>
    </row>
    <row r="693">
      <c r="F693" s="112"/>
    </row>
    <row r="694">
      <c r="F694" s="112"/>
    </row>
    <row r="695">
      <c r="F695" s="112"/>
    </row>
    <row r="696">
      <c r="F696" s="112"/>
    </row>
    <row r="697">
      <c r="F697" s="112"/>
    </row>
    <row r="698">
      <c r="F698" s="112"/>
    </row>
    <row r="699">
      <c r="F699" s="112"/>
    </row>
    <row r="700">
      <c r="F700" s="112"/>
    </row>
    <row r="701">
      <c r="F701" s="112"/>
    </row>
    <row r="702">
      <c r="F702" s="112"/>
    </row>
    <row r="703">
      <c r="F703" s="112"/>
    </row>
    <row r="704">
      <c r="F704" s="112"/>
    </row>
    <row r="705">
      <c r="F705" s="112"/>
    </row>
    <row r="706">
      <c r="F706" s="112"/>
    </row>
    <row r="707">
      <c r="F707" s="112"/>
    </row>
    <row r="708">
      <c r="F708" s="112"/>
    </row>
    <row r="709">
      <c r="F709" s="112"/>
    </row>
    <row r="710">
      <c r="F710" s="112"/>
    </row>
    <row r="711">
      <c r="F711" s="112"/>
    </row>
    <row r="712">
      <c r="F712" s="112"/>
    </row>
    <row r="713">
      <c r="F713" s="112"/>
    </row>
    <row r="714">
      <c r="F714" s="112"/>
    </row>
    <row r="715">
      <c r="F715" s="112"/>
    </row>
    <row r="716">
      <c r="F716" s="112"/>
    </row>
    <row r="717">
      <c r="F717" s="112"/>
    </row>
    <row r="718">
      <c r="F718" s="112"/>
    </row>
    <row r="719">
      <c r="F719" s="112"/>
    </row>
    <row r="720">
      <c r="F720" s="112"/>
    </row>
    <row r="721">
      <c r="F721" s="112"/>
    </row>
    <row r="722">
      <c r="F722" s="112"/>
    </row>
    <row r="723">
      <c r="F723" s="112"/>
    </row>
    <row r="724">
      <c r="F724" s="112"/>
    </row>
    <row r="725">
      <c r="F725" s="112"/>
    </row>
    <row r="726">
      <c r="F726" s="112"/>
    </row>
    <row r="727">
      <c r="F727" s="112"/>
    </row>
    <row r="728">
      <c r="F728" s="112"/>
    </row>
    <row r="729">
      <c r="F729" s="112"/>
    </row>
    <row r="730">
      <c r="F730" s="112"/>
    </row>
    <row r="731">
      <c r="F731" s="112"/>
    </row>
    <row r="732">
      <c r="F732" s="112"/>
    </row>
    <row r="733">
      <c r="F733" s="112"/>
    </row>
    <row r="734">
      <c r="F734" s="112"/>
    </row>
    <row r="735">
      <c r="F735" s="112"/>
    </row>
    <row r="736">
      <c r="F736" s="112"/>
    </row>
    <row r="737">
      <c r="F737" s="112"/>
    </row>
    <row r="738">
      <c r="F738" s="112"/>
    </row>
    <row r="739">
      <c r="F739" s="112"/>
    </row>
    <row r="740">
      <c r="F740" s="112"/>
    </row>
    <row r="741">
      <c r="F741" s="112"/>
    </row>
    <row r="742">
      <c r="F742" s="112"/>
    </row>
    <row r="743">
      <c r="F743" s="112"/>
    </row>
    <row r="744">
      <c r="F744" s="112"/>
    </row>
    <row r="745">
      <c r="F745" s="112"/>
    </row>
    <row r="746">
      <c r="F746" s="112"/>
    </row>
    <row r="747">
      <c r="F747" s="112"/>
    </row>
    <row r="748">
      <c r="F748" s="112"/>
    </row>
    <row r="749">
      <c r="F749" s="112"/>
    </row>
    <row r="750">
      <c r="F750" s="112"/>
    </row>
    <row r="751">
      <c r="F751" s="112"/>
    </row>
    <row r="752">
      <c r="F752" s="112"/>
    </row>
    <row r="753">
      <c r="F753" s="112"/>
    </row>
    <row r="754">
      <c r="F754" s="112"/>
    </row>
    <row r="755">
      <c r="F755" s="112"/>
    </row>
    <row r="756">
      <c r="F756" s="112"/>
    </row>
    <row r="757">
      <c r="F757" s="112"/>
    </row>
    <row r="758">
      <c r="F758" s="112"/>
    </row>
    <row r="759">
      <c r="F759" s="112"/>
    </row>
    <row r="760">
      <c r="F760" s="112"/>
    </row>
    <row r="761">
      <c r="F761" s="112"/>
    </row>
    <row r="762">
      <c r="F762" s="112"/>
    </row>
    <row r="763">
      <c r="F763" s="112"/>
    </row>
    <row r="764">
      <c r="F764" s="112"/>
    </row>
    <row r="765">
      <c r="F765" s="112"/>
    </row>
    <row r="766">
      <c r="F766" s="112"/>
    </row>
    <row r="767">
      <c r="F767" s="112"/>
    </row>
    <row r="768">
      <c r="F768" s="112"/>
    </row>
    <row r="769">
      <c r="F769" s="112"/>
    </row>
    <row r="770">
      <c r="F770" s="112"/>
    </row>
    <row r="771">
      <c r="F771" s="112"/>
    </row>
    <row r="772">
      <c r="F772" s="112"/>
    </row>
    <row r="773">
      <c r="F773" s="112"/>
    </row>
    <row r="774">
      <c r="F774" s="112"/>
    </row>
    <row r="775">
      <c r="F775" s="112"/>
    </row>
    <row r="776">
      <c r="F776" s="112"/>
    </row>
    <row r="777">
      <c r="F777" s="112"/>
    </row>
    <row r="778">
      <c r="F778" s="112"/>
    </row>
    <row r="779">
      <c r="F779" s="112"/>
    </row>
    <row r="780">
      <c r="F780" s="112"/>
    </row>
    <row r="781">
      <c r="F781" s="112"/>
    </row>
    <row r="782">
      <c r="F782" s="112"/>
    </row>
    <row r="783">
      <c r="F783" s="112"/>
    </row>
    <row r="784">
      <c r="F784" s="112"/>
    </row>
    <row r="785">
      <c r="F785" s="112"/>
    </row>
    <row r="786">
      <c r="F786" s="112"/>
    </row>
    <row r="787">
      <c r="F787" s="112"/>
    </row>
    <row r="788">
      <c r="F788" s="112"/>
    </row>
    <row r="789">
      <c r="F789" s="112"/>
    </row>
    <row r="790">
      <c r="F790" s="112"/>
    </row>
    <row r="791">
      <c r="F791" s="112"/>
    </row>
    <row r="792">
      <c r="F792" s="112"/>
    </row>
    <row r="793">
      <c r="F793" s="112"/>
    </row>
    <row r="794">
      <c r="F794" s="112"/>
    </row>
    <row r="795">
      <c r="F795" s="112"/>
    </row>
    <row r="796">
      <c r="F796" s="112"/>
    </row>
    <row r="797">
      <c r="F797" s="112"/>
    </row>
    <row r="798">
      <c r="F798" s="112"/>
    </row>
    <row r="799">
      <c r="F799" s="112"/>
    </row>
    <row r="800">
      <c r="F800" s="112"/>
    </row>
    <row r="801">
      <c r="F801" s="112"/>
    </row>
    <row r="802">
      <c r="F802" s="112"/>
    </row>
    <row r="803">
      <c r="F803" s="112"/>
    </row>
    <row r="804">
      <c r="F804" s="112"/>
    </row>
    <row r="805">
      <c r="F805" s="112"/>
    </row>
    <row r="806">
      <c r="F806" s="112"/>
    </row>
    <row r="807">
      <c r="F807" s="112"/>
    </row>
    <row r="808">
      <c r="F808" s="112"/>
    </row>
    <row r="809">
      <c r="F809" s="112"/>
    </row>
    <row r="810">
      <c r="F810" s="112"/>
    </row>
    <row r="811">
      <c r="F811" s="112"/>
    </row>
    <row r="812">
      <c r="F812" s="112"/>
    </row>
    <row r="813">
      <c r="F813" s="112"/>
    </row>
    <row r="814">
      <c r="F814" s="112"/>
    </row>
    <row r="815">
      <c r="F815" s="112"/>
    </row>
    <row r="816">
      <c r="F816" s="112"/>
    </row>
    <row r="817">
      <c r="F817" s="112"/>
    </row>
    <row r="818">
      <c r="F818" s="112"/>
    </row>
    <row r="819">
      <c r="F819" s="112"/>
    </row>
    <row r="820">
      <c r="F820" s="112"/>
    </row>
    <row r="821">
      <c r="F821" s="112"/>
    </row>
    <row r="822">
      <c r="F822" s="112"/>
    </row>
    <row r="823">
      <c r="F823" s="112"/>
    </row>
    <row r="824">
      <c r="F824" s="112"/>
    </row>
    <row r="825">
      <c r="F825" s="112"/>
    </row>
    <row r="826">
      <c r="F826" s="112"/>
    </row>
    <row r="827">
      <c r="F827" s="112"/>
    </row>
    <row r="828">
      <c r="F828" s="112"/>
    </row>
    <row r="829">
      <c r="F829" s="112"/>
    </row>
    <row r="830">
      <c r="F830" s="112"/>
    </row>
    <row r="831">
      <c r="F831" s="112"/>
    </row>
    <row r="832">
      <c r="F832" s="112"/>
    </row>
    <row r="833">
      <c r="F833" s="112"/>
    </row>
    <row r="834">
      <c r="F834" s="112"/>
    </row>
    <row r="835">
      <c r="F835" s="112"/>
    </row>
    <row r="836">
      <c r="F836" s="112"/>
    </row>
    <row r="837">
      <c r="F837" s="112"/>
    </row>
    <row r="838">
      <c r="F838" s="112"/>
    </row>
    <row r="839">
      <c r="F839" s="112"/>
    </row>
    <row r="840">
      <c r="F840" s="112"/>
    </row>
    <row r="841">
      <c r="F841" s="112"/>
    </row>
    <row r="842">
      <c r="F842" s="112"/>
    </row>
    <row r="843">
      <c r="F843" s="112"/>
    </row>
    <row r="844">
      <c r="F844" s="112"/>
    </row>
    <row r="845">
      <c r="F845" s="112"/>
    </row>
    <row r="846">
      <c r="F846" s="112"/>
    </row>
    <row r="847">
      <c r="F847" s="112"/>
    </row>
    <row r="848">
      <c r="F848" s="112"/>
    </row>
    <row r="849">
      <c r="F849" s="112"/>
    </row>
    <row r="850">
      <c r="F850" s="112"/>
    </row>
    <row r="851">
      <c r="F851" s="112"/>
    </row>
    <row r="852">
      <c r="F852" s="112"/>
    </row>
    <row r="853">
      <c r="F853" s="112"/>
    </row>
    <row r="854">
      <c r="F854" s="112"/>
    </row>
    <row r="855">
      <c r="F855" s="112"/>
    </row>
    <row r="856">
      <c r="F856" s="112"/>
    </row>
    <row r="857">
      <c r="F857" s="112"/>
    </row>
    <row r="858">
      <c r="F858" s="112"/>
    </row>
    <row r="859">
      <c r="F859" s="112"/>
    </row>
    <row r="860">
      <c r="F860" s="112"/>
    </row>
    <row r="861">
      <c r="F861" s="112"/>
    </row>
    <row r="862">
      <c r="F862" s="112"/>
    </row>
    <row r="863">
      <c r="F863" s="112"/>
    </row>
    <row r="864">
      <c r="F864" s="112"/>
    </row>
    <row r="865">
      <c r="F865" s="112"/>
    </row>
    <row r="866">
      <c r="F866" s="112"/>
    </row>
    <row r="867">
      <c r="F867" s="112"/>
    </row>
    <row r="868">
      <c r="F868" s="112"/>
    </row>
    <row r="869">
      <c r="F869" s="112"/>
    </row>
    <row r="870">
      <c r="F870" s="112"/>
    </row>
    <row r="871">
      <c r="F871" s="112"/>
    </row>
    <row r="872">
      <c r="F872" s="112"/>
    </row>
    <row r="873">
      <c r="F873" s="112"/>
    </row>
    <row r="874">
      <c r="F874" s="112"/>
    </row>
    <row r="875">
      <c r="F875" s="112"/>
    </row>
    <row r="876">
      <c r="F876" s="112"/>
    </row>
    <row r="877">
      <c r="F877" s="112"/>
    </row>
    <row r="878">
      <c r="F878" s="112"/>
    </row>
    <row r="879">
      <c r="F879" s="112"/>
    </row>
    <row r="880">
      <c r="F880" s="112"/>
    </row>
    <row r="881">
      <c r="F881" s="112"/>
    </row>
    <row r="882">
      <c r="F882" s="112"/>
    </row>
    <row r="883">
      <c r="F883" s="112"/>
    </row>
    <row r="884">
      <c r="F884" s="112"/>
    </row>
    <row r="885">
      <c r="F885" s="112"/>
    </row>
    <row r="886">
      <c r="F886" s="112"/>
    </row>
    <row r="887">
      <c r="F887" s="112"/>
    </row>
    <row r="888">
      <c r="F888" s="112"/>
    </row>
    <row r="889">
      <c r="F889" s="112"/>
    </row>
    <row r="890">
      <c r="F890" s="112"/>
    </row>
    <row r="891">
      <c r="F891" s="112"/>
    </row>
    <row r="892">
      <c r="F892" s="112"/>
    </row>
    <row r="893">
      <c r="F893" s="112"/>
    </row>
    <row r="894">
      <c r="F894" s="112"/>
    </row>
    <row r="895">
      <c r="F895" s="112"/>
    </row>
    <row r="896">
      <c r="F896" s="112"/>
    </row>
    <row r="897">
      <c r="F897" s="112"/>
    </row>
    <row r="898">
      <c r="F898" s="112"/>
    </row>
    <row r="899">
      <c r="F899" s="112"/>
    </row>
    <row r="900">
      <c r="F900" s="112"/>
    </row>
    <row r="901">
      <c r="F901" s="112"/>
    </row>
    <row r="902">
      <c r="F902" s="112"/>
    </row>
    <row r="903">
      <c r="F903" s="112"/>
    </row>
    <row r="904">
      <c r="F904" s="112"/>
    </row>
    <row r="905">
      <c r="F905" s="112"/>
    </row>
    <row r="906">
      <c r="F906" s="112"/>
    </row>
    <row r="907">
      <c r="F907" s="112"/>
    </row>
    <row r="908">
      <c r="F908" s="112"/>
    </row>
    <row r="909">
      <c r="F909" s="112"/>
    </row>
    <row r="910">
      <c r="F910" s="112"/>
    </row>
    <row r="911">
      <c r="F911" s="112"/>
    </row>
    <row r="912">
      <c r="F912" s="112"/>
    </row>
    <row r="913">
      <c r="F913" s="112"/>
    </row>
    <row r="914">
      <c r="F914" s="112"/>
    </row>
    <row r="915">
      <c r="F915" s="112"/>
    </row>
    <row r="916">
      <c r="F916" s="112"/>
    </row>
    <row r="917">
      <c r="F917" s="112"/>
    </row>
    <row r="918">
      <c r="F918" s="112"/>
    </row>
    <row r="919">
      <c r="F919" s="112"/>
    </row>
    <row r="920">
      <c r="F920" s="112"/>
    </row>
    <row r="921">
      <c r="F921" s="112"/>
    </row>
    <row r="922">
      <c r="F922" s="112"/>
    </row>
    <row r="923">
      <c r="F923" s="112"/>
    </row>
    <row r="924">
      <c r="F924" s="112"/>
    </row>
    <row r="925">
      <c r="F925" s="112"/>
    </row>
    <row r="926">
      <c r="F926" s="112"/>
    </row>
    <row r="927">
      <c r="F927" s="112"/>
    </row>
    <row r="928">
      <c r="F928" s="112"/>
    </row>
    <row r="929">
      <c r="F929" s="112"/>
    </row>
    <row r="930">
      <c r="F930" s="112"/>
    </row>
    <row r="931">
      <c r="F931" s="112"/>
    </row>
    <row r="932">
      <c r="F932" s="112"/>
    </row>
    <row r="933">
      <c r="F933" s="112"/>
    </row>
    <row r="934">
      <c r="F934" s="112"/>
    </row>
    <row r="935">
      <c r="F935" s="112"/>
    </row>
    <row r="936">
      <c r="F936" s="112"/>
    </row>
    <row r="937">
      <c r="F937" s="112"/>
    </row>
    <row r="938">
      <c r="F938" s="112"/>
    </row>
    <row r="939">
      <c r="F939" s="112"/>
    </row>
    <row r="940">
      <c r="F940" s="112"/>
    </row>
    <row r="941">
      <c r="F941" s="112"/>
    </row>
    <row r="942">
      <c r="F942" s="112"/>
    </row>
    <row r="943">
      <c r="F943" s="112"/>
    </row>
    <row r="944">
      <c r="F944" s="112"/>
    </row>
    <row r="945">
      <c r="F945" s="112"/>
    </row>
    <row r="946">
      <c r="F946" s="112"/>
    </row>
    <row r="947">
      <c r="F947" s="112"/>
    </row>
    <row r="948">
      <c r="F948" s="112"/>
    </row>
    <row r="949">
      <c r="F949" s="112"/>
    </row>
    <row r="950">
      <c r="F950" s="112"/>
    </row>
    <row r="951">
      <c r="F951" s="112"/>
    </row>
    <row r="952">
      <c r="F952" s="112"/>
    </row>
    <row r="953">
      <c r="F953" s="112"/>
    </row>
    <row r="954">
      <c r="F954" s="112"/>
    </row>
    <row r="955">
      <c r="F955" s="112"/>
    </row>
    <row r="956">
      <c r="F956" s="112"/>
    </row>
    <row r="957">
      <c r="F957" s="112"/>
    </row>
    <row r="958">
      <c r="F958" s="112"/>
    </row>
    <row r="959">
      <c r="F959" s="112"/>
    </row>
    <row r="960">
      <c r="F960" s="112"/>
    </row>
    <row r="961">
      <c r="F961" s="112"/>
    </row>
    <row r="962">
      <c r="F962" s="112"/>
    </row>
    <row r="963">
      <c r="F963" s="112"/>
    </row>
    <row r="964">
      <c r="F964" s="112"/>
    </row>
    <row r="965">
      <c r="F965" s="112"/>
    </row>
    <row r="966">
      <c r="F966" s="112"/>
    </row>
    <row r="967">
      <c r="F967" s="112"/>
    </row>
    <row r="968">
      <c r="F968" s="112"/>
    </row>
    <row r="969">
      <c r="F969" s="112"/>
    </row>
    <row r="970">
      <c r="F970" s="112"/>
    </row>
    <row r="971">
      <c r="F971" s="112"/>
    </row>
    <row r="972">
      <c r="F972" s="112"/>
    </row>
    <row r="973">
      <c r="F973" s="112"/>
    </row>
    <row r="974">
      <c r="F974" s="112"/>
    </row>
    <row r="975">
      <c r="F975" s="112"/>
    </row>
    <row r="976">
      <c r="F976" s="112"/>
    </row>
    <row r="977">
      <c r="F977" s="112"/>
    </row>
    <row r="978">
      <c r="F978" s="112"/>
    </row>
    <row r="979">
      <c r="F979" s="112"/>
    </row>
    <row r="980">
      <c r="F980" s="112"/>
    </row>
    <row r="981">
      <c r="F981" s="112"/>
    </row>
    <row r="982">
      <c r="F982" s="112"/>
    </row>
    <row r="983">
      <c r="F983" s="112"/>
    </row>
    <row r="984">
      <c r="F984" s="112"/>
    </row>
    <row r="985">
      <c r="F985" s="112"/>
    </row>
    <row r="986">
      <c r="F986" s="112"/>
    </row>
    <row r="987">
      <c r="F987" s="112"/>
    </row>
    <row r="988">
      <c r="F988" s="112"/>
    </row>
    <row r="989">
      <c r="F989" s="112"/>
    </row>
    <row r="990">
      <c r="F990" s="112"/>
    </row>
    <row r="991">
      <c r="F991" s="112"/>
    </row>
    <row r="992">
      <c r="F992" s="112"/>
    </row>
    <row r="993">
      <c r="F993" s="112"/>
    </row>
    <row r="994">
      <c r="F994" s="112"/>
    </row>
    <row r="995">
      <c r="F995" s="112"/>
    </row>
    <row r="996">
      <c r="F996" s="112"/>
    </row>
    <row r="997">
      <c r="F997" s="112"/>
    </row>
    <row r="998">
      <c r="F998" s="112"/>
    </row>
    <row r="999">
      <c r="F999" s="112"/>
    </row>
    <row r="1000">
      <c r="F1000" s="112"/>
    </row>
    <row r="1001">
      <c r="F1001" s="112"/>
    </row>
  </sheetData>
  <mergeCells count="9">
    <mergeCell ref="E52:E53"/>
    <mergeCell ref="A72:E72"/>
    <mergeCell ref="C50:C51"/>
    <mergeCell ref="D50:D51"/>
    <mergeCell ref="E50:E51"/>
    <mergeCell ref="F50:F51"/>
    <mergeCell ref="C52:C53"/>
    <mergeCell ref="D52:D53"/>
    <mergeCell ref="F52:F5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8.5"/>
    <col customWidth="1" min="3" max="3" width="22.63"/>
    <col customWidth="1" min="4" max="4" width="21.13"/>
    <col customWidth="1" min="5" max="5" width="23.5"/>
    <col customWidth="1" min="6" max="6" width="18.63"/>
    <col customWidth="1" min="7" max="7" width="17.88"/>
    <col customWidth="1" min="8" max="8" width="17.0"/>
    <col customWidth="1" min="9" max="9" width="16.0"/>
    <col customWidth="1" min="10" max="10" width="15.38"/>
  </cols>
  <sheetData>
    <row r="1">
      <c r="A1" s="1" t="s">
        <v>0</v>
      </c>
      <c r="B1" s="1" t="s">
        <v>1</v>
      </c>
      <c r="C1" s="129" t="s">
        <v>2</v>
      </c>
      <c r="D1" s="1" t="s">
        <v>3</v>
      </c>
      <c r="E1" s="130" t="s">
        <v>4</v>
      </c>
      <c r="F1" s="130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78" t="s">
        <v>361</v>
      </c>
      <c r="B2" s="4" t="s">
        <v>11</v>
      </c>
      <c r="C2" s="131">
        <v>3595701.0</v>
      </c>
      <c r="D2" s="79">
        <v>0.21</v>
      </c>
      <c r="E2" s="5">
        <f t="shared" ref="E2:E8" si="1">ifs(D2=21%,(C2/100*21),D2=12%,(C2/100*12),D2="Režim",0,D2="Zaloha",0)+C2</f>
        <v>4350798.21</v>
      </c>
      <c r="F2" s="5">
        <f>C2-(SUM(C3:C8))</f>
        <v>0</v>
      </c>
      <c r="G2" s="4"/>
      <c r="H2" s="8"/>
      <c r="I2" s="8"/>
      <c r="J2" s="6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 t="s">
        <v>362</v>
      </c>
      <c r="B3" s="10" t="s">
        <v>11</v>
      </c>
      <c r="C3" s="132">
        <v>2574213.0</v>
      </c>
      <c r="D3" s="16">
        <v>0.21</v>
      </c>
      <c r="E3" s="11">
        <f t="shared" si="1"/>
        <v>3114797.73</v>
      </c>
      <c r="F3" s="11"/>
      <c r="G3" s="80">
        <v>46024.0</v>
      </c>
      <c r="H3" s="80">
        <v>46030.0</v>
      </c>
      <c r="I3" s="80">
        <v>46027.0</v>
      </c>
      <c r="J3" s="15" t="s">
        <v>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32">
        <f>C2-C3</f>
        <v>1021488</v>
      </c>
      <c r="D4" s="16">
        <v>0.21</v>
      </c>
      <c r="E4" s="11">
        <f t="shared" si="1"/>
        <v>1236000.48</v>
      </c>
      <c r="F4" s="11"/>
      <c r="G4" s="17"/>
      <c r="H4" s="18"/>
      <c r="I4" s="18"/>
      <c r="J4" s="1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/>
      <c r="B5" s="10"/>
      <c r="C5" s="132"/>
      <c r="D5" s="16"/>
      <c r="E5" s="11" t="str">
        <f t="shared" si="1"/>
        <v>#N/A</v>
      </c>
      <c r="F5" s="11"/>
      <c r="G5" s="17"/>
      <c r="H5" s="18"/>
      <c r="I5" s="18"/>
      <c r="J5" s="1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"/>
      <c r="B6" s="10"/>
      <c r="C6" s="132"/>
      <c r="D6" s="16"/>
      <c r="E6" s="11" t="str">
        <f t="shared" si="1"/>
        <v>#N/A</v>
      </c>
      <c r="F6" s="11"/>
      <c r="G6" s="17"/>
      <c r="H6" s="18"/>
      <c r="I6" s="18"/>
      <c r="J6" s="1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/>
      <c r="B7" s="10"/>
      <c r="C7" s="132"/>
      <c r="D7" s="16"/>
      <c r="E7" s="11" t="str">
        <f t="shared" si="1"/>
        <v>#N/A</v>
      </c>
      <c r="F7" s="11"/>
      <c r="G7" s="17"/>
      <c r="H7" s="18"/>
      <c r="I7" s="18"/>
      <c r="J7" s="15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/>
      <c r="B8" s="10"/>
      <c r="C8" s="132"/>
      <c r="D8" s="16"/>
      <c r="E8" s="11" t="str">
        <f t="shared" si="1"/>
        <v>#N/A</v>
      </c>
      <c r="F8" s="11"/>
      <c r="G8" s="17"/>
      <c r="H8" s="18"/>
      <c r="I8" s="18"/>
      <c r="J8" s="15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9"/>
      <c r="B9" s="19"/>
      <c r="C9" s="133"/>
      <c r="D9" s="19"/>
      <c r="E9" s="134"/>
      <c r="F9" s="134"/>
      <c r="G9" s="1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9"/>
      <c r="B10" s="19"/>
      <c r="C10" s="133"/>
      <c r="D10" s="19"/>
      <c r="E10" s="134"/>
      <c r="F10" s="134"/>
      <c r="G10" s="1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0" t="s">
        <v>14</v>
      </c>
      <c r="B11" s="20" t="s">
        <v>15</v>
      </c>
      <c r="C11" s="135" t="s">
        <v>16</v>
      </c>
      <c r="D11" s="20" t="s">
        <v>17</v>
      </c>
      <c r="E11" s="109" t="s">
        <v>18</v>
      </c>
      <c r="F11" s="109" t="s">
        <v>19</v>
      </c>
      <c r="G11" s="20" t="s">
        <v>17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1" t="s">
        <v>363</v>
      </c>
      <c r="B12" s="136">
        <v>2009626.0</v>
      </c>
      <c r="C12" s="137">
        <f>F102</f>
        <v>2148319.35</v>
      </c>
      <c r="D12" s="110">
        <f>B12-C12</f>
        <v>-138693.35</v>
      </c>
      <c r="E12" s="111">
        <v>240000.0</v>
      </c>
      <c r="F12" s="111">
        <f>P13</f>
        <v>157950</v>
      </c>
      <c r="G12" s="116">
        <f>E12-F12</f>
        <v>82050</v>
      </c>
    </row>
    <row r="13">
      <c r="A13" s="35"/>
      <c r="C13" s="138"/>
      <c r="D13" s="35"/>
      <c r="E13" s="139" t="s">
        <v>364</v>
      </c>
      <c r="F13" s="139" t="s">
        <v>364</v>
      </c>
      <c r="G13" s="139" t="s">
        <v>365</v>
      </c>
      <c r="H13" s="140"/>
      <c r="K13" s="141"/>
      <c r="M13" s="142" t="s">
        <v>366</v>
      </c>
      <c r="N13" s="31"/>
      <c r="O13" s="32"/>
      <c r="P13" s="143">
        <f>SUM(P15:P19)</f>
        <v>157950</v>
      </c>
    </row>
    <row r="14">
      <c r="A14" s="35"/>
      <c r="C14" s="138"/>
      <c r="D14" s="35"/>
      <c r="E14" s="144">
        <v>1200.0</v>
      </c>
      <c r="F14" s="144">
        <f>SUM(O15:O19)</f>
        <v>601.5</v>
      </c>
      <c r="G14" s="144">
        <f>E14-F14</f>
        <v>598.5</v>
      </c>
      <c r="H14" s="140"/>
      <c r="I14" s="140"/>
      <c r="J14" s="140"/>
      <c r="K14" s="140"/>
      <c r="M14" s="145" t="s">
        <v>367</v>
      </c>
      <c r="N14" s="145" t="s">
        <v>368</v>
      </c>
      <c r="O14" s="145" t="s">
        <v>364</v>
      </c>
      <c r="P14" s="145" t="s">
        <v>369</v>
      </c>
    </row>
    <row r="15">
      <c r="A15" s="35"/>
      <c r="C15" s="138"/>
      <c r="D15" s="35"/>
      <c r="E15" s="146"/>
      <c r="F15" s="146"/>
      <c r="H15" s="147"/>
      <c r="I15" s="148"/>
      <c r="J15" s="148"/>
      <c r="K15" s="149"/>
      <c r="M15" s="150" t="s">
        <v>370</v>
      </c>
      <c r="N15" s="55">
        <v>350.0</v>
      </c>
      <c r="O15" s="55">
        <v>191.5</v>
      </c>
      <c r="P15" s="151">
        <f>O15*350</f>
        <v>67025</v>
      </c>
    </row>
    <row r="16">
      <c r="A16" s="26" t="s">
        <v>21</v>
      </c>
      <c r="B16" s="26" t="s">
        <v>22</v>
      </c>
      <c r="C16" s="152" t="s">
        <v>23</v>
      </c>
      <c r="D16" s="26" t="s">
        <v>24</v>
      </c>
      <c r="E16" s="113" t="s">
        <v>25</v>
      </c>
      <c r="F16" s="113" t="s">
        <v>371</v>
      </c>
      <c r="H16" s="147"/>
      <c r="I16" s="148"/>
      <c r="J16" s="148"/>
      <c r="K16" s="149"/>
      <c r="M16" s="150" t="s">
        <v>372</v>
      </c>
      <c r="N16" s="55">
        <v>250.0</v>
      </c>
      <c r="O16" s="55">
        <v>178.5</v>
      </c>
      <c r="P16" s="151">
        <f>O16*250</f>
        <v>44625</v>
      </c>
    </row>
    <row r="17">
      <c r="A17" s="27">
        <v>45663.0</v>
      </c>
      <c r="B17" s="153" t="s">
        <v>373</v>
      </c>
      <c r="C17" s="90" t="s">
        <v>374</v>
      </c>
      <c r="D17" s="23">
        <v>1.0</v>
      </c>
      <c r="E17" s="111">
        <v>100000.0</v>
      </c>
      <c r="F17" s="116">
        <f t="shared" ref="F17:F71" si="2">E17*D17</f>
        <v>100000</v>
      </c>
      <c r="G17" s="154" t="s">
        <v>375</v>
      </c>
      <c r="H17" s="147"/>
      <c r="I17" s="148"/>
      <c r="J17" s="148"/>
      <c r="K17" s="149"/>
      <c r="M17" s="150" t="s">
        <v>376</v>
      </c>
      <c r="N17" s="55">
        <v>200.0</v>
      </c>
      <c r="O17" s="55">
        <v>149.0</v>
      </c>
      <c r="P17" s="151">
        <f>O17*200</f>
        <v>29800</v>
      </c>
    </row>
    <row r="18">
      <c r="A18" s="27">
        <v>46043.0</v>
      </c>
      <c r="B18" s="153" t="s">
        <v>377</v>
      </c>
      <c r="C18" s="90" t="s">
        <v>378</v>
      </c>
      <c r="D18" s="23">
        <v>1.0</v>
      </c>
      <c r="E18" s="155">
        <v>100000.0</v>
      </c>
      <c r="F18" s="116">
        <f t="shared" si="2"/>
        <v>100000</v>
      </c>
    </row>
    <row r="19">
      <c r="A19" s="156">
        <v>46028.0</v>
      </c>
      <c r="B19" s="157" t="s">
        <v>379</v>
      </c>
      <c r="C19" s="158" t="s">
        <v>380</v>
      </c>
      <c r="D19" s="55">
        <v>1.0</v>
      </c>
      <c r="E19" s="159">
        <v>1688670.25</v>
      </c>
      <c r="F19" s="160">
        <f t="shared" si="2"/>
        <v>1688670.25</v>
      </c>
      <c r="G19" s="53"/>
      <c r="H19" s="147"/>
      <c r="I19" s="148"/>
      <c r="J19" s="148"/>
      <c r="K19" s="149"/>
      <c r="L19" s="53"/>
      <c r="M19" s="150" t="s">
        <v>381</v>
      </c>
      <c r="N19" s="55">
        <v>200.0</v>
      </c>
      <c r="O19" s="55">
        <v>82.5</v>
      </c>
      <c r="P19" s="151">
        <f>O19*200</f>
        <v>16500</v>
      </c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>
      <c r="A20" s="27">
        <v>46042.0</v>
      </c>
      <c r="B20" s="153" t="s">
        <v>382</v>
      </c>
      <c r="C20" s="90" t="s">
        <v>383</v>
      </c>
      <c r="D20" s="23">
        <v>1.0</v>
      </c>
      <c r="E20" s="66">
        <v>30000.0</v>
      </c>
      <c r="F20" s="116">
        <f t="shared" si="2"/>
        <v>30000</v>
      </c>
    </row>
    <row r="21">
      <c r="A21" s="27">
        <v>46037.0</v>
      </c>
      <c r="B21" s="153" t="s">
        <v>384</v>
      </c>
      <c r="C21" s="88" t="s">
        <v>385</v>
      </c>
      <c r="D21" s="23">
        <v>1.0</v>
      </c>
      <c r="E21" s="155">
        <v>39182.19</v>
      </c>
      <c r="F21" s="116">
        <f t="shared" si="2"/>
        <v>39182.19</v>
      </c>
    </row>
    <row r="22">
      <c r="A22" s="27">
        <v>46055.0</v>
      </c>
      <c r="B22" s="153" t="s">
        <v>384</v>
      </c>
      <c r="C22" s="89" t="s">
        <v>386</v>
      </c>
      <c r="D22" s="23">
        <v>1.0</v>
      </c>
      <c r="E22" s="155">
        <v>16927.05</v>
      </c>
      <c r="F22" s="116">
        <f t="shared" si="2"/>
        <v>16927.05</v>
      </c>
    </row>
    <row r="23">
      <c r="A23" s="27">
        <v>46063.0</v>
      </c>
      <c r="B23" s="153" t="s">
        <v>384</v>
      </c>
      <c r="C23" s="88" t="s">
        <v>387</v>
      </c>
      <c r="D23" s="23">
        <v>1.0</v>
      </c>
      <c r="E23" s="155">
        <v>14652.47</v>
      </c>
      <c r="F23" s="116">
        <f t="shared" si="2"/>
        <v>14652.47</v>
      </c>
    </row>
    <row r="24">
      <c r="A24" s="27">
        <v>46071.0</v>
      </c>
      <c r="B24" s="153" t="s">
        <v>384</v>
      </c>
      <c r="C24" s="90" t="s">
        <v>388</v>
      </c>
      <c r="D24" s="23">
        <v>1.0</v>
      </c>
      <c r="E24" s="155">
        <v>3700.0</v>
      </c>
      <c r="F24" s="116">
        <f t="shared" si="2"/>
        <v>3700</v>
      </c>
    </row>
    <row r="25">
      <c r="A25" s="27">
        <v>46066.0</v>
      </c>
      <c r="B25" s="153" t="s">
        <v>384</v>
      </c>
      <c r="C25" s="90" t="s">
        <v>389</v>
      </c>
      <c r="D25" s="23">
        <v>1.0</v>
      </c>
      <c r="E25" s="155">
        <v>25752.0</v>
      </c>
      <c r="F25" s="116">
        <f t="shared" si="2"/>
        <v>25752</v>
      </c>
    </row>
    <row r="26">
      <c r="A26" s="27">
        <v>46031.0</v>
      </c>
      <c r="B26" s="153" t="s">
        <v>259</v>
      </c>
      <c r="C26" s="88" t="s">
        <v>390</v>
      </c>
      <c r="D26" s="23">
        <v>1.0</v>
      </c>
      <c r="E26" s="155">
        <v>4921.49</v>
      </c>
      <c r="F26" s="116">
        <f t="shared" si="2"/>
        <v>4921.49</v>
      </c>
    </row>
    <row r="27">
      <c r="A27" s="27">
        <v>46034.0</v>
      </c>
      <c r="B27" s="153" t="s">
        <v>391</v>
      </c>
      <c r="C27" s="88" t="s">
        <v>392</v>
      </c>
      <c r="D27" s="23">
        <v>1.0</v>
      </c>
      <c r="E27" s="155">
        <v>4766.12</v>
      </c>
      <c r="F27" s="116">
        <f t="shared" si="2"/>
        <v>4766.12</v>
      </c>
    </row>
    <row r="28">
      <c r="A28" s="27">
        <v>46037.0</v>
      </c>
      <c r="B28" s="153" t="s">
        <v>393</v>
      </c>
      <c r="C28" s="88" t="s">
        <v>394</v>
      </c>
      <c r="D28" s="23">
        <v>1.0</v>
      </c>
      <c r="E28" s="155">
        <v>2834.0</v>
      </c>
      <c r="F28" s="116">
        <f t="shared" si="2"/>
        <v>2834</v>
      </c>
    </row>
    <row r="29">
      <c r="A29" s="27">
        <v>46037.0</v>
      </c>
      <c r="B29" s="153" t="s">
        <v>393</v>
      </c>
      <c r="C29" s="88" t="s">
        <v>395</v>
      </c>
      <c r="D29" s="23">
        <v>1.0</v>
      </c>
      <c r="E29" s="155">
        <v>3615.0</v>
      </c>
      <c r="F29" s="116">
        <f t="shared" si="2"/>
        <v>3615</v>
      </c>
    </row>
    <row r="30">
      <c r="A30" s="27">
        <v>46038.0</v>
      </c>
      <c r="B30" s="153" t="s">
        <v>259</v>
      </c>
      <c r="C30" s="88" t="s">
        <v>396</v>
      </c>
      <c r="D30" s="23">
        <v>1.0</v>
      </c>
      <c r="E30" s="155">
        <v>1115.7</v>
      </c>
      <c r="F30" s="116">
        <f t="shared" si="2"/>
        <v>1115.7</v>
      </c>
    </row>
    <row r="31">
      <c r="A31" s="27">
        <v>46042.0</v>
      </c>
      <c r="B31" s="153" t="s">
        <v>259</v>
      </c>
      <c r="C31" s="88" t="s">
        <v>397</v>
      </c>
      <c r="D31" s="23">
        <v>1.0</v>
      </c>
      <c r="E31" s="155">
        <v>771.9</v>
      </c>
      <c r="F31" s="116">
        <f t="shared" si="2"/>
        <v>771.9</v>
      </c>
    </row>
    <row r="32">
      <c r="A32" s="27">
        <v>46042.0</v>
      </c>
      <c r="B32" s="153" t="s">
        <v>393</v>
      </c>
      <c r="C32" s="88" t="s">
        <v>398</v>
      </c>
      <c r="D32" s="23">
        <v>1.0</v>
      </c>
      <c r="E32" s="155">
        <v>5439.15</v>
      </c>
      <c r="F32" s="116">
        <f t="shared" si="2"/>
        <v>5439.15</v>
      </c>
    </row>
    <row r="33">
      <c r="A33" s="27">
        <v>46048.0</v>
      </c>
      <c r="B33" s="153" t="s">
        <v>259</v>
      </c>
      <c r="C33" s="88" t="s">
        <v>399</v>
      </c>
      <c r="D33" s="23">
        <v>1.0</v>
      </c>
      <c r="E33" s="155">
        <v>392.23</v>
      </c>
      <c r="F33" s="116">
        <f t="shared" si="2"/>
        <v>392.23</v>
      </c>
    </row>
    <row r="34">
      <c r="A34" s="27">
        <v>46049.0</v>
      </c>
      <c r="B34" s="153" t="s">
        <v>400</v>
      </c>
      <c r="C34" s="88" t="s">
        <v>401</v>
      </c>
      <c r="D34" s="23">
        <v>1.0</v>
      </c>
      <c r="E34" s="155">
        <v>4100.0</v>
      </c>
      <c r="F34" s="116">
        <f t="shared" si="2"/>
        <v>4100</v>
      </c>
    </row>
    <row r="35">
      <c r="A35" s="27">
        <v>46051.0</v>
      </c>
      <c r="B35" s="153" t="s">
        <v>259</v>
      </c>
      <c r="C35" s="88" t="s">
        <v>402</v>
      </c>
      <c r="D35" s="23">
        <v>1.0</v>
      </c>
      <c r="E35" s="155">
        <v>2552.07</v>
      </c>
      <c r="F35" s="116">
        <f t="shared" si="2"/>
        <v>2552.07</v>
      </c>
    </row>
    <row r="36">
      <c r="A36" s="27">
        <v>46051.0</v>
      </c>
      <c r="B36" s="153" t="s">
        <v>259</v>
      </c>
      <c r="C36" s="88" t="s">
        <v>403</v>
      </c>
      <c r="D36" s="23">
        <v>1.0</v>
      </c>
      <c r="E36" s="155">
        <v>408.26</v>
      </c>
      <c r="F36" s="116">
        <f t="shared" si="2"/>
        <v>408.26</v>
      </c>
      <c r="H36" s="161"/>
    </row>
    <row r="37">
      <c r="A37" s="27">
        <v>46056.0</v>
      </c>
      <c r="B37" s="153" t="s">
        <v>393</v>
      </c>
      <c r="C37" s="88" t="s">
        <v>404</v>
      </c>
      <c r="D37" s="23">
        <v>1.0</v>
      </c>
      <c r="E37" s="155">
        <v>1516.79</v>
      </c>
      <c r="F37" s="116">
        <f t="shared" si="2"/>
        <v>1516.79</v>
      </c>
    </row>
    <row r="38">
      <c r="A38" s="27">
        <v>46056.0</v>
      </c>
      <c r="B38" s="153" t="s">
        <v>393</v>
      </c>
      <c r="C38" s="88" t="s">
        <v>405</v>
      </c>
      <c r="D38" s="23">
        <v>1.0</v>
      </c>
      <c r="E38" s="155">
        <v>16.45</v>
      </c>
      <c r="F38" s="116">
        <f t="shared" si="2"/>
        <v>16.45</v>
      </c>
    </row>
    <row r="39">
      <c r="A39" s="27">
        <v>46057.0</v>
      </c>
      <c r="B39" s="153" t="s">
        <v>256</v>
      </c>
      <c r="C39" s="88" t="s">
        <v>406</v>
      </c>
      <c r="D39" s="23">
        <v>1.0</v>
      </c>
      <c r="E39" s="155">
        <v>2195.87</v>
      </c>
      <c r="F39" s="116">
        <f t="shared" si="2"/>
        <v>2195.87</v>
      </c>
      <c r="H39" s="161"/>
    </row>
    <row r="40">
      <c r="A40" s="27">
        <v>46058.0</v>
      </c>
      <c r="B40" s="153" t="s">
        <v>259</v>
      </c>
      <c r="C40" s="88" t="s">
        <v>407</v>
      </c>
      <c r="D40" s="23">
        <v>1.0</v>
      </c>
      <c r="E40" s="155">
        <v>2030.58</v>
      </c>
      <c r="F40" s="116">
        <f t="shared" si="2"/>
        <v>2030.58</v>
      </c>
    </row>
    <row r="41">
      <c r="A41" s="27">
        <v>46059.0</v>
      </c>
      <c r="B41" s="153" t="s">
        <v>259</v>
      </c>
      <c r="C41" s="88" t="s">
        <v>408</v>
      </c>
      <c r="D41" s="23">
        <v>1.0</v>
      </c>
      <c r="E41" s="155">
        <v>2301.65</v>
      </c>
      <c r="F41" s="116">
        <f t="shared" si="2"/>
        <v>2301.65</v>
      </c>
    </row>
    <row r="42">
      <c r="A42" s="27">
        <v>46076.0</v>
      </c>
      <c r="B42" s="153" t="s">
        <v>409</v>
      </c>
      <c r="C42" s="88" t="s">
        <v>410</v>
      </c>
      <c r="D42" s="23">
        <v>1.0</v>
      </c>
      <c r="E42" s="155">
        <v>4106.5</v>
      </c>
      <c r="F42" s="116">
        <f t="shared" si="2"/>
        <v>4106.5</v>
      </c>
    </row>
    <row r="43">
      <c r="A43" s="27">
        <v>46077.0</v>
      </c>
      <c r="B43" s="153" t="s">
        <v>409</v>
      </c>
      <c r="C43" s="89" t="s">
        <v>411</v>
      </c>
      <c r="D43" s="23">
        <v>1.0</v>
      </c>
      <c r="E43" s="155">
        <v>166.6</v>
      </c>
      <c r="F43" s="116">
        <f t="shared" si="2"/>
        <v>166.6</v>
      </c>
    </row>
    <row r="44">
      <c r="A44" s="27">
        <v>46078.0</v>
      </c>
      <c r="B44" s="153" t="s">
        <v>409</v>
      </c>
      <c r="C44" s="88" t="s">
        <v>412</v>
      </c>
      <c r="D44" s="23">
        <v>1.0</v>
      </c>
      <c r="E44" s="155">
        <v>6077.33</v>
      </c>
      <c r="F44" s="116">
        <f t="shared" si="2"/>
        <v>6077.33</v>
      </c>
    </row>
    <row r="45">
      <c r="A45" s="27">
        <v>46064.0</v>
      </c>
      <c r="B45" s="153" t="s">
        <v>413</v>
      </c>
      <c r="C45" s="88" t="s">
        <v>414</v>
      </c>
      <c r="D45" s="23">
        <v>1.0</v>
      </c>
      <c r="E45" s="155">
        <v>2700.0</v>
      </c>
      <c r="F45" s="116">
        <f t="shared" si="2"/>
        <v>2700</v>
      </c>
    </row>
    <row r="46">
      <c r="A46" s="27">
        <v>46078.0</v>
      </c>
      <c r="B46" s="153" t="s">
        <v>409</v>
      </c>
      <c r="C46" s="88" t="s">
        <v>415</v>
      </c>
      <c r="D46" s="23">
        <v>1.0</v>
      </c>
      <c r="E46" s="155">
        <v>525.0</v>
      </c>
      <c r="F46" s="116">
        <f t="shared" si="2"/>
        <v>525</v>
      </c>
    </row>
    <row r="47">
      <c r="A47" s="27">
        <v>46066.0</v>
      </c>
      <c r="B47" s="153" t="s">
        <v>259</v>
      </c>
      <c r="C47" s="88" t="s">
        <v>416</v>
      </c>
      <c r="D47" s="23">
        <v>1.0</v>
      </c>
      <c r="E47" s="155">
        <v>598.25</v>
      </c>
      <c r="F47" s="116">
        <f t="shared" si="2"/>
        <v>598.25</v>
      </c>
    </row>
    <row r="48">
      <c r="A48" s="27">
        <v>46065.0</v>
      </c>
      <c r="B48" s="153" t="s">
        <v>417</v>
      </c>
      <c r="C48" s="88" t="s">
        <v>418</v>
      </c>
      <c r="D48" s="23">
        <v>1.0</v>
      </c>
      <c r="E48" s="155">
        <v>3610.74</v>
      </c>
      <c r="F48" s="116">
        <f t="shared" si="2"/>
        <v>3610.74</v>
      </c>
    </row>
    <row r="49">
      <c r="A49" s="59">
        <v>46065.0</v>
      </c>
      <c r="B49" s="153" t="s">
        <v>391</v>
      </c>
      <c r="C49" s="88" t="s">
        <v>419</v>
      </c>
      <c r="D49" s="23">
        <v>1.0</v>
      </c>
      <c r="E49" s="155">
        <v>2347.93</v>
      </c>
      <c r="F49" s="116">
        <f t="shared" si="2"/>
        <v>2347.93</v>
      </c>
    </row>
    <row r="50">
      <c r="A50" s="23" t="s">
        <v>420</v>
      </c>
      <c r="B50" s="153" t="s">
        <v>256</v>
      </c>
      <c r="C50" s="88" t="s">
        <v>421</v>
      </c>
      <c r="D50" s="23">
        <v>1.0</v>
      </c>
      <c r="E50" s="155">
        <v>374.38</v>
      </c>
      <c r="F50" s="116">
        <f t="shared" si="2"/>
        <v>374.38</v>
      </c>
      <c r="G50" s="74"/>
    </row>
    <row r="51">
      <c r="A51" s="27">
        <v>46080.0</v>
      </c>
      <c r="B51" s="153" t="s">
        <v>409</v>
      </c>
      <c r="C51" s="88" t="s">
        <v>422</v>
      </c>
      <c r="D51" s="23">
        <v>1.0</v>
      </c>
      <c r="E51" s="155">
        <v>626.65</v>
      </c>
      <c r="F51" s="116">
        <f t="shared" si="2"/>
        <v>626.65</v>
      </c>
    </row>
    <row r="52">
      <c r="A52" s="27">
        <v>46069.0</v>
      </c>
      <c r="B52" s="153" t="s">
        <v>259</v>
      </c>
      <c r="C52" s="88" t="s">
        <v>423</v>
      </c>
      <c r="D52" s="23">
        <v>1.0</v>
      </c>
      <c r="E52" s="155">
        <v>1521.49</v>
      </c>
      <c r="F52" s="116">
        <f t="shared" si="2"/>
        <v>1521.49</v>
      </c>
    </row>
    <row r="53">
      <c r="A53" s="27">
        <v>46069.0</v>
      </c>
      <c r="B53" s="153" t="s">
        <v>259</v>
      </c>
      <c r="C53" s="88" t="s">
        <v>424</v>
      </c>
      <c r="D53" s="23">
        <v>1.0</v>
      </c>
      <c r="E53" s="155">
        <v>846.28</v>
      </c>
      <c r="F53" s="116">
        <f t="shared" si="2"/>
        <v>846.28</v>
      </c>
    </row>
    <row r="54">
      <c r="A54" s="27">
        <v>46070.0</v>
      </c>
      <c r="B54" s="153" t="s">
        <v>409</v>
      </c>
      <c r="C54" s="88" t="s">
        <v>425</v>
      </c>
      <c r="D54" s="23">
        <v>1.0</v>
      </c>
      <c r="E54" s="111">
        <v>1578.0</v>
      </c>
      <c r="F54" s="116">
        <f t="shared" si="2"/>
        <v>1578</v>
      </c>
    </row>
    <row r="55">
      <c r="A55" s="27">
        <v>46070.0</v>
      </c>
      <c r="B55" s="153" t="s">
        <v>409</v>
      </c>
      <c r="C55" s="88" t="s">
        <v>426</v>
      </c>
      <c r="D55" s="23">
        <v>1.0</v>
      </c>
      <c r="E55" s="111">
        <v>4176.9</v>
      </c>
      <c r="F55" s="116">
        <f t="shared" si="2"/>
        <v>4176.9</v>
      </c>
    </row>
    <row r="56">
      <c r="A56" s="27">
        <v>46071.0</v>
      </c>
      <c r="B56" s="153" t="s">
        <v>254</v>
      </c>
      <c r="C56" s="88" t="s">
        <v>427</v>
      </c>
      <c r="D56" s="23">
        <v>1.0</v>
      </c>
      <c r="E56" s="111">
        <v>758.68</v>
      </c>
      <c r="F56" s="116">
        <f t="shared" si="2"/>
        <v>758.68</v>
      </c>
    </row>
    <row r="57">
      <c r="A57" s="27">
        <v>46066.0</v>
      </c>
      <c r="B57" s="153" t="s">
        <v>409</v>
      </c>
      <c r="C57" s="88" t="s">
        <v>428</v>
      </c>
      <c r="D57" s="23">
        <v>1.0</v>
      </c>
      <c r="E57" s="111">
        <v>2596.41</v>
      </c>
      <c r="F57" s="116">
        <f t="shared" si="2"/>
        <v>2596.41</v>
      </c>
    </row>
    <row r="58">
      <c r="A58" s="27">
        <v>46066.0</v>
      </c>
      <c r="B58" s="153" t="s">
        <v>429</v>
      </c>
      <c r="C58" s="88" t="s">
        <v>430</v>
      </c>
      <c r="D58" s="23">
        <v>1.0</v>
      </c>
      <c r="E58" s="111">
        <v>10307.32</v>
      </c>
      <c r="F58" s="116">
        <f t="shared" si="2"/>
        <v>10307.32</v>
      </c>
    </row>
    <row r="59">
      <c r="A59" s="27">
        <v>46066.0</v>
      </c>
      <c r="B59" s="153" t="s">
        <v>431</v>
      </c>
      <c r="C59" s="88" t="s">
        <v>432</v>
      </c>
      <c r="D59" s="23">
        <v>1.0</v>
      </c>
      <c r="E59" s="111">
        <v>3594.0</v>
      </c>
      <c r="F59" s="116">
        <f t="shared" si="2"/>
        <v>3594</v>
      </c>
    </row>
    <row r="60">
      <c r="A60" s="27">
        <v>46049.0</v>
      </c>
      <c r="B60" s="153" t="s">
        <v>431</v>
      </c>
      <c r="C60" s="88" t="s">
        <v>433</v>
      </c>
      <c r="D60" s="23">
        <v>1.0</v>
      </c>
      <c r="E60" s="111">
        <v>1904.0</v>
      </c>
      <c r="F60" s="116">
        <f t="shared" si="2"/>
        <v>1904</v>
      </c>
    </row>
    <row r="61">
      <c r="A61" s="27">
        <v>46073.0</v>
      </c>
      <c r="B61" s="153" t="s">
        <v>434</v>
      </c>
      <c r="C61" s="88" t="s">
        <v>435</v>
      </c>
      <c r="D61" s="23">
        <v>1.0</v>
      </c>
      <c r="E61" s="111">
        <v>10233.05</v>
      </c>
      <c r="F61" s="116">
        <f t="shared" si="2"/>
        <v>10233.05</v>
      </c>
    </row>
    <row r="62">
      <c r="A62" s="27">
        <v>46074.0</v>
      </c>
      <c r="B62" s="162" t="s">
        <v>259</v>
      </c>
      <c r="C62" s="88" t="s">
        <v>436</v>
      </c>
      <c r="D62" s="23">
        <v>1.0</v>
      </c>
      <c r="E62" s="111">
        <v>999.23</v>
      </c>
      <c r="F62" s="116">
        <f t="shared" si="2"/>
        <v>999.23</v>
      </c>
    </row>
    <row r="63">
      <c r="A63" s="27">
        <v>46077.0</v>
      </c>
      <c r="B63" s="162" t="s">
        <v>391</v>
      </c>
      <c r="C63" s="88" t="s">
        <v>437</v>
      </c>
      <c r="D63" s="23">
        <v>1.0</v>
      </c>
      <c r="E63" s="111">
        <v>377.36</v>
      </c>
      <c r="F63" s="116">
        <f t="shared" si="2"/>
        <v>377.36</v>
      </c>
    </row>
    <row r="64">
      <c r="A64" s="27">
        <v>46077.0</v>
      </c>
      <c r="B64" s="162" t="s">
        <v>417</v>
      </c>
      <c r="C64" s="88" t="s">
        <v>438</v>
      </c>
      <c r="D64" s="23">
        <v>1.0</v>
      </c>
      <c r="E64" s="111">
        <v>4991.09</v>
      </c>
      <c r="F64" s="116">
        <f t="shared" si="2"/>
        <v>4991.09</v>
      </c>
    </row>
    <row r="65">
      <c r="A65" s="27">
        <v>46077.0</v>
      </c>
      <c r="B65" s="162" t="s">
        <v>417</v>
      </c>
      <c r="C65" s="88" t="s">
        <v>439</v>
      </c>
      <c r="D65" s="23">
        <v>1.0</v>
      </c>
      <c r="E65" s="111">
        <v>7165.29</v>
      </c>
      <c r="F65" s="116">
        <f t="shared" si="2"/>
        <v>7165.29</v>
      </c>
    </row>
    <row r="66">
      <c r="A66" s="27">
        <v>46077.0</v>
      </c>
      <c r="B66" s="162" t="s">
        <v>259</v>
      </c>
      <c r="C66" s="88" t="s">
        <v>440</v>
      </c>
      <c r="D66" s="23">
        <v>1.0</v>
      </c>
      <c r="E66" s="111">
        <v>1886.78</v>
      </c>
      <c r="F66" s="116">
        <f t="shared" si="2"/>
        <v>1886.78</v>
      </c>
    </row>
    <row r="67">
      <c r="A67" s="27">
        <v>46077.0</v>
      </c>
      <c r="B67" s="162" t="s">
        <v>393</v>
      </c>
      <c r="C67" s="88" t="s">
        <v>441</v>
      </c>
      <c r="D67" s="23">
        <v>1.0</v>
      </c>
      <c r="E67" s="111">
        <v>3689.5</v>
      </c>
      <c r="F67" s="116">
        <f t="shared" si="2"/>
        <v>3689.5</v>
      </c>
    </row>
    <row r="68">
      <c r="A68" s="27">
        <v>46077.0</v>
      </c>
      <c r="B68" s="162" t="s">
        <v>442</v>
      </c>
      <c r="C68" s="88" t="s">
        <v>443</v>
      </c>
      <c r="D68" s="23">
        <v>1.0</v>
      </c>
      <c r="E68" s="111">
        <v>312.0</v>
      </c>
      <c r="F68" s="116">
        <f t="shared" si="2"/>
        <v>312</v>
      </c>
    </row>
    <row r="69">
      <c r="A69" s="27">
        <v>46073.0</v>
      </c>
      <c r="B69" s="162" t="s">
        <v>431</v>
      </c>
      <c r="C69" s="88" t="s">
        <v>444</v>
      </c>
      <c r="D69" s="23">
        <v>1.0</v>
      </c>
      <c r="E69" s="111">
        <v>8432.0</v>
      </c>
      <c r="F69" s="116">
        <f t="shared" si="2"/>
        <v>8432</v>
      </c>
    </row>
    <row r="70">
      <c r="A70" s="27">
        <v>46078.0</v>
      </c>
      <c r="B70" s="162" t="s">
        <v>445</v>
      </c>
      <c r="C70" s="88" t="s">
        <v>446</v>
      </c>
      <c r="D70" s="23">
        <v>1.0</v>
      </c>
      <c r="E70" s="111">
        <v>2500.0</v>
      </c>
      <c r="F70" s="116">
        <f t="shared" si="2"/>
        <v>2500</v>
      </c>
    </row>
    <row r="71">
      <c r="A71" s="27">
        <v>46078.0</v>
      </c>
      <c r="B71" s="162" t="s">
        <v>259</v>
      </c>
      <c r="C71" s="88" t="s">
        <v>447</v>
      </c>
      <c r="D71" s="23">
        <v>1.0</v>
      </c>
      <c r="E71" s="111">
        <v>433.06</v>
      </c>
      <c r="F71" s="116">
        <f t="shared" si="2"/>
        <v>433.06</v>
      </c>
    </row>
    <row r="72">
      <c r="A72" s="27">
        <v>46078.0</v>
      </c>
      <c r="B72" s="162" t="s">
        <v>256</v>
      </c>
      <c r="C72" s="88" t="s">
        <v>448</v>
      </c>
      <c r="D72" s="23">
        <v>1.0</v>
      </c>
      <c r="E72" s="111" t="s">
        <v>449</v>
      </c>
      <c r="F72" s="116"/>
    </row>
    <row r="73">
      <c r="A73" s="27">
        <v>46078.0</v>
      </c>
      <c r="B73" s="162" t="s">
        <v>259</v>
      </c>
      <c r="C73" s="88" t="s">
        <v>450</v>
      </c>
      <c r="D73" s="23">
        <v>1.0</v>
      </c>
      <c r="E73" s="111">
        <v>1022.31</v>
      </c>
      <c r="F73" s="116">
        <f>E73*D73</f>
        <v>1022.31</v>
      </c>
    </row>
    <row r="74">
      <c r="A74" s="27">
        <v>46080.0</v>
      </c>
      <c r="B74" s="162" t="s">
        <v>259</v>
      </c>
      <c r="C74" s="88" t="s">
        <v>451</v>
      </c>
      <c r="D74" s="23">
        <v>1.0</v>
      </c>
      <c r="E74" s="111">
        <v>272.73</v>
      </c>
      <c r="F74" s="116"/>
    </row>
    <row r="75">
      <c r="A75" s="27">
        <v>46080.0</v>
      </c>
      <c r="B75" s="162" t="s">
        <v>259</v>
      </c>
      <c r="C75" s="88" t="s">
        <v>452</v>
      </c>
      <c r="D75" s="23">
        <v>1.0</v>
      </c>
      <c r="E75" s="111">
        <v>164.46</v>
      </c>
      <c r="F75" s="116"/>
    </row>
    <row r="76">
      <c r="A76" s="27">
        <v>46062.0</v>
      </c>
      <c r="B76" s="162" t="s">
        <v>259</v>
      </c>
      <c r="C76" s="88" t="s">
        <v>453</v>
      </c>
      <c r="D76" s="23">
        <v>1.0</v>
      </c>
      <c r="E76" s="111">
        <v>596.69</v>
      </c>
      <c r="F76" s="116"/>
    </row>
    <row r="77">
      <c r="A77" s="27">
        <v>46080.0</v>
      </c>
      <c r="B77" s="162" t="s">
        <v>256</v>
      </c>
      <c r="C77" s="88" t="s">
        <v>454</v>
      </c>
      <c r="D77" s="23">
        <v>1.0</v>
      </c>
      <c r="E77" s="111" t="s">
        <v>307</v>
      </c>
      <c r="F77" s="116"/>
    </row>
    <row r="78">
      <c r="A78" s="27">
        <v>46065.0</v>
      </c>
      <c r="B78" s="162" t="s">
        <v>417</v>
      </c>
      <c r="C78" s="88" t="s">
        <v>455</v>
      </c>
      <c r="D78" s="23">
        <v>1.0</v>
      </c>
      <c r="E78" s="111">
        <v>3610.74</v>
      </c>
      <c r="F78" s="116"/>
    </row>
    <row r="79">
      <c r="A79" s="27">
        <v>46076.0</v>
      </c>
      <c r="B79" s="162" t="s">
        <v>391</v>
      </c>
      <c r="C79" s="88" t="s">
        <v>456</v>
      </c>
      <c r="D79" s="23">
        <v>1.0</v>
      </c>
      <c r="E79" s="111">
        <v>966.94</v>
      </c>
      <c r="F79" s="116"/>
    </row>
    <row r="80">
      <c r="A80" s="27">
        <v>46073.0</v>
      </c>
      <c r="B80" s="162" t="s">
        <v>384</v>
      </c>
      <c r="C80" s="88" t="s">
        <v>457</v>
      </c>
      <c r="D80" s="23">
        <v>1.0</v>
      </c>
      <c r="E80" s="111" t="s">
        <v>307</v>
      </c>
      <c r="F80" s="116"/>
    </row>
    <row r="81">
      <c r="A81" s="27">
        <v>46055.0</v>
      </c>
      <c r="B81" s="162" t="s">
        <v>256</v>
      </c>
      <c r="C81" s="88" t="s">
        <v>458</v>
      </c>
      <c r="D81" s="23">
        <v>1.0</v>
      </c>
      <c r="E81" s="111">
        <v>662.81</v>
      </c>
      <c r="F81" s="116"/>
    </row>
    <row r="82">
      <c r="A82" s="27">
        <v>46085.0</v>
      </c>
      <c r="B82" s="162" t="s">
        <v>250</v>
      </c>
      <c r="C82" s="88" t="s">
        <v>459</v>
      </c>
      <c r="D82" s="23">
        <v>1.0</v>
      </c>
      <c r="E82" s="111">
        <v>2663.92</v>
      </c>
      <c r="F82" s="116"/>
    </row>
    <row r="83">
      <c r="A83" s="27"/>
      <c r="B83" s="162"/>
      <c r="C83" s="163"/>
      <c r="D83" s="23"/>
      <c r="E83" s="111"/>
      <c r="F83" s="116"/>
    </row>
    <row r="84">
      <c r="A84" s="27"/>
      <c r="B84" s="162"/>
      <c r="C84" s="163"/>
      <c r="D84" s="23"/>
      <c r="E84" s="111"/>
      <c r="F84" s="116"/>
    </row>
    <row r="85">
      <c r="A85" s="27"/>
      <c r="B85" s="162"/>
      <c r="C85" s="163"/>
      <c r="D85" s="23"/>
      <c r="E85" s="111"/>
      <c r="F85" s="116"/>
    </row>
    <row r="86">
      <c r="A86" s="27"/>
      <c r="B86" s="162"/>
      <c r="C86" s="163"/>
      <c r="D86" s="23"/>
      <c r="E86" s="111"/>
      <c r="F86" s="116"/>
    </row>
    <row r="87">
      <c r="A87" s="27"/>
      <c r="B87" s="162"/>
      <c r="C87" s="163"/>
      <c r="D87" s="23"/>
      <c r="E87" s="111"/>
      <c r="F87" s="116"/>
    </row>
    <row r="88">
      <c r="A88" s="27"/>
      <c r="B88" s="162"/>
      <c r="C88" s="163"/>
      <c r="D88" s="23"/>
      <c r="E88" s="111"/>
      <c r="F88" s="116"/>
    </row>
    <row r="89">
      <c r="A89" s="27"/>
      <c r="B89" s="162"/>
      <c r="C89" s="163"/>
      <c r="D89" s="23"/>
      <c r="E89" s="111"/>
      <c r="F89" s="116"/>
    </row>
    <row r="90">
      <c r="A90" s="27"/>
      <c r="B90" s="162"/>
      <c r="C90" s="163"/>
      <c r="D90" s="23"/>
      <c r="E90" s="111"/>
      <c r="F90" s="116"/>
    </row>
    <row r="91">
      <c r="A91" s="27"/>
      <c r="B91" s="162"/>
      <c r="C91" s="163"/>
      <c r="D91" s="23"/>
      <c r="E91" s="111"/>
      <c r="F91" s="116"/>
    </row>
    <row r="92">
      <c r="A92" s="27"/>
      <c r="B92" s="162"/>
      <c r="C92" s="163"/>
      <c r="D92" s="23"/>
      <c r="E92" s="111"/>
      <c r="F92" s="116"/>
    </row>
    <row r="93">
      <c r="A93" s="27"/>
      <c r="B93" s="162"/>
      <c r="C93" s="163"/>
      <c r="D93" s="23"/>
      <c r="E93" s="111"/>
      <c r="F93" s="116"/>
    </row>
    <row r="94">
      <c r="A94" s="27"/>
      <c r="B94" s="162"/>
      <c r="C94" s="163"/>
      <c r="D94" s="23"/>
      <c r="E94" s="111"/>
      <c r="F94" s="116"/>
    </row>
    <row r="95">
      <c r="A95" s="27"/>
      <c r="B95" s="162"/>
      <c r="C95" s="163"/>
      <c r="D95" s="23"/>
      <c r="E95" s="111"/>
      <c r="F95" s="116"/>
    </row>
    <row r="96">
      <c r="A96" s="27"/>
      <c r="B96" s="162"/>
      <c r="C96" s="163"/>
      <c r="D96" s="23"/>
      <c r="E96" s="111"/>
      <c r="F96" s="116"/>
    </row>
    <row r="97">
      <c r="A97" s="27"/>
      <c r="B97" s="162"/>
      <c r="C97" s="163"/>
      <c r="D97" s="23"/>
      <c r="E97" s="111"/>
      <c r="F97" s="116"/>
    </row>
    <row r="98">
      <c r="A98" s="27"/>
      <c r="B98" s="162"/>
      <c r="C98" s="163"/>
      <c r="D98" s="23"/>
      <c r="E98" s="111"/>
      <c r="F98" s="116"/>
    </row>
    <row r="99">
      <c r="A99" s="27"/>
      <c r="B99" s="162"/>
      <c r="C99" s="163"/>
      <c r="D99" s="23"/>
      <c r="E99" s="111"/>
      <c r="F99" s="116"/>
    </row>
    <row r="100">
      <c r="A100" s="27"/>
      <c r="B100" s="162"/>
      <c r="C100" s="163"/>
      <c r="D100" s="23"/>
      <c r="E100" s="111"/>
      <c r="F100" s="116"/>
    </row>
    <row r="101">
      <c r="A101" s="27"/>
      <c r="B101" s="162"/>
      <c r="C101" s="163"/>
      <c r="D101" s="23"/>
      <c r="E101" s="111"/>
      <c r="F101" s="116"/>
    </row>
    <row r="102">
      <c r="A102" s="72" t="s">
        <v>27</v>
      </c>
      <c r="B102" s="31"/>
      <c r="C102" s="31"/>
      <c r="D102" s="31"/>
      <c r="E102" s="32"/>
      <c r="F102" s="164">
        <f>SUM(F17:F101)</f>
        <v>2148319.35</v>
      </c>
    </row>
    <row r="103">
      <c r="A103" s="35"/>
      <c r="C103" s="138"/>
      <c r="D103" s="35"/>
      <c r="E103" s="146"/>
      <c r="F103" s="146"/>
    </row>
    <row r="104">
      <c r="A104" s="35"/>
      <c r="C104" s="138"/>
      <c r="D104" s="35"/>
      <c r="E104" s="146"/>
      <c r="F104" s="146"/>
    </row>
    <row r="105">
      <c r="A105" s="35"/>
      <c r="C105" s="138"/>
      <c r="D105" s="35"/>
      <c r="E105" s="146"/>
      <c r="F105" s="146"/>
    </row>
    <row r="106">
      <c r="A106" s="35"/>
      <c r="C106" s="138"/>
      <c r="D106" s="35"/>
      <c r="E106" s="146"/>
      <c r="F106" s="146"/>
    </row>
    <row r="107">
      <c r="A107" s="35"/>
      <c r="C107" s="138"/>
      <c r="D107" s="35"/>
      <c r="E107" s="146"/>
      <c r="F107" s="146"/>
    </row>
    <row r="108">
      <c r="A108" s="35"/>
      <c r="C108" s="138"/>
      <c r="D108" s="35"/>
      <c r="E108" s="146"/>
      <c r="F108" s="146"/>
    </row>
    <row r="109">
      <c r="A109" s="35"/>
      <c r="C109" s="138"/>
      <c r="D109" s="35"/>
      <c r="E109" s="146"/>
      <c r="F109" s="146"/>
    </row>
    <row r="110">
      <c r="A110" s="35"/>
      <c r="C110" s="138"/>
      <c r="D110" s="35"/>
      <c r="E110" s="146"/>
      <c r="F110" s="146"/>
    </row>
    <row r="111">
      <c r="A111" s="35"/>
      <c r="C111" s="138"/>
      <c r="D111" s="35"/>
      <c r="E111" s="146"/>
      <c r="F111" s="146"/>
    </row>
    <row r="112">
      <c r="A112" s="35"/>
      <c r="C112" s="138"/>
      <c r="D112" s="35"/>
      <c r="E112" s="146"/>
      <c r="F112" s="146"/>
    </row>
    <row r="113">
      <c r="A113" s="35"/>
      <c r="C113" s="138"/>
      <c r="D113" s="35"/>
      <c r="E113" s="146"/>
      <c r="F113" s="146"/>
    </row>
    <row r="114">
      <c r="A114" s="35"/>
      <c r="C114" s="138"/>
      <c r="D114" s="35"/>
      <c r="E114" s="146"/>
      <c r="F114" s="146"/>
    </row>
    <row r="115">
      <c r="A115" s="35"/>
      <c r="C115" s="138"/>
      <c r="D115" s="35"/>
      <c r="E115" s="146"/>
      <c r="F115" s="146"/>
    </row>
    <row r="116">
      <c r="A116" s="35"/>
      <c r="C116" s="138"/>
      <c r="D116" s="35"/>
      <c r="E116" s="146"/>
      <c r="F116" s="146"/>
    </row>
    <row r="117">
      <c r="A117" s="35"/>
      <c r="C117" s="138"/>
      <c r="D117" s="35"/>
      <c r="E117" s="146"/>
      <c r="F117" s="146"/>
    </row>
    <row r="118">
      <c r="A118" s="35"/>
      <c r="C118" s="138"/>
      <c r="D118" s="35"/>
      <c r="E118" s="146"/>
      <c r="F118" s="146"/>
    </row>
    <row r="119">
      <c r="A119" s="35"/>
      <c r="C119" s="138"/>
      <c r="D119" s="35"/>
      <c r="E119" s="146"/>
      <c r="F119" s="146"/>
    </row>
    <row r="120">
      <c r="A120" s="35"/>
      <c r="C120" s="138"/>
      <c r="D120" s="35"/>
      <c r="E120" s="146"/>
      <c r="F120" s="146"/>
    </row>
    <row r="121">
      <c r="A121" s="35"/>
      <c r="C121" s="138"/>
      <c r="D121" s="35"/>
      <c r="E121" s="146"/>
      <c r="F121" s="146"/>
    </row>
    <row r="122">
      <c r="A122" s="35"/>
      <c r="C122" s="138"/>
      <c r="D122" s="35"/>
      <c r="E122" s="146"/>
      <c r="F122" s="146"/>
    </row>
    <row r="123">
      <c r="A123" s="35"/>
      <c r="C123" s="138"/>
      <c r="D123" s="35"/>
      <c r="E123" s="146"/>
      <c r="F123" s="146"/>
    </row>
    <row r="124">
      <c r="A124" s="35"/>
      <c r="C124" s="138"/>
      <c r="D124" s="35"/>
      <c r="E124" s="146"/>
      <c r="F124" s="146"/>
    </row>
    <row r="125">
      <c r="A125" s="35"/>
      <c r="C125" s="138"/>
      <c r="D125" s="35"/>
      <c r="E125" s="146"/>
      <c r="F125" s="146"/>
    </row>
    <row r="126">
      <c r="A126" s="35"/>
      <c r="C126" s="138"/>
      <c r="D126" s="35"/>
      <c r="E126" s="146"/>
      <c r="F126" s="146"/>
    </row>
    <row r="127">
      <c r="A127" s="35"/>
      <c r="C127" s="138"/>
      <c r="D127" s="35"/>
      <c r="E127" s="146"/>
      <c r="F127" s="146"/>
    </row>
    <row r="128">
      <c r="A128" s="35"/>
      <c r="C128" s="138"/>
      <c r="D128" s="35"/>
      <c r="E128" s="146"/>
      <c r="F128" s="146"/>
    </row>
    <row r="129">
      <c r="A129" s="35"/>
      <c r="C129" s="138"/>
      <c r="D129" s="35"/>
      <c r="E129" s="146"/>
      <c r="F129" s="146"/>
    </row>
    <row r="130">
      <c r="A130" s="35"/>
      <c r="C130" s="138"/>
      <c r="D130" s="35"/>
      <c r="E130" s="146"/>
      <c r="F130" s="146"/>
    </row>
    <row r="131">
      <c r="A131" s="35"/>
      <c r="C131" s="138"/>
      <c r="D131" s="35"/>
      <c r="E131" s="146"/>
      <c r="F131" s="146"/>
    </row>
    <row r="132">
      <c r="A132" s="35"/>
      <c r="C132" s="138"/>
      <c r="D132" s="35"/>
      <c r="E132" s="146"/>
      <c r="F132" s="146"/>
    </row>
    <row r="133">
      <c r="A133" s="35"/>
      <c r="C133" s="138"/>
      <c r="D133" s="35"/>
      <c r="E133" s="146"/>
      <c r="F133" s="146"/>
    </row>
    <row r="134">
      <c r="A134" s="35"/>
      <c r="C134" s="138"/>
      <c r="D134" s="35"/>
      <c r="E134" s="146"/>
      <c r="F134" s="146"/>
    </row>
    <row r="135">
      <c r="A135" s="35"/>
      <c r="C135" s="138"/>
      <c r="D135" s="35"/>
      <c r="E135" s="146"/>
      <c r="F135" s="146"/>
    </row>
    <row r="136">
      <c r="A136" s="35"/>
      <c r="C136" s="138"/>
      <c r="D136" s="35"/>
      <c r="E136" s="146"/>
      <c r="F136" s="146"/>
    </row>
    <row r="137">
      <c r="A137" s="35"/>
      <c r="C137" s="138"/>
      <c r="D137" s="35"/>
      <c r="E137" s="146"/>
      <c r="F137" s="146"/>
    </row>
    <row r="138">
      <c r="A138" s="35"/>
      <c r="C138" s="138"/>
      <c r="D138" s="35"/>
      <c r="E138" s="146"/>
      <c r="F138" s="146"/>
    </row>
    <row r="139">
      <c r="A139" s="35"/>
      <c r="C139" s="138"/>
      <c r="D139" s="35"/>
      <c r="E139" s="146"/>
      <c r="F139" s="146"/>
    </row>
    <row r="140">
      <c r="A140" s="35"/>
      <c r="C140" s="138"/>
      <c r="D140" s="35"/>
      <c r="E140" s="146"/>
      <c r="F140" s="146"/>
    </row>
    <row r="141">
      <c r="A141" s="35"/>
      <c r="C141" s="138"/>
      <c r="D141" s="35"/>
      <c r="E141" s="146"/>
      <c r="F141" s="146"/>
    </row>
    <row r="142">
      <c r="A142" s="35"/>
      <c r="C142" s="138"/>
      <c r="D142" s="35"/>
      <c r="E142" s="146"/>
      <c r="F142" s="146"/>
    </row>
    <row r="143">
      <c r="A143" s="35"/>
      <c r="C143" s="138"/>
      <c r="D143" s="35"/>
      <c r="E143" s="146"/>
      <c r="F143" s="146"/>
    </row>
    <row r="144">
      <c r="A144" s="35"/>
      <c r="C144" s="138"/>
      <c r="D144" s="35"/>
      <c r="E144" s="146"/>
      <c r="F144" s="146"/>
    </row>
    <row r="145">
      <c r="A145" s="35"/>
      <c r="C145" s="138"/>
      <c r="D145" s="35"/>
      <c r="E145" s="146"/>
      <c r="F145" s="146"/>
    </row>
    <row r="146">
      <c r="A146" s="35"/>
      <c r="C146" s="138"/>
      <c r="D146" s="35"/>
      <c r="E146" s="146"/>
      <c r="F146" s="146"/>
    </row>
    <row r="147">
      <c r="A147" s="35"/>
      <c r="C147" s="138"/>
      <c r="D147" s="35"/>
      <c r="E147" s="146"/>
      <c r="F147" s="146"/>
    </row>
    <row r="148">
      <c r="A148" s="35"/>
      <c r="C148" s="138"/>
      <c r="D148" s="35"/>
      <c r="E148" s="146"/>
      <c r="F148" s="146"/>
    </row>
    <row r="149">
      <c r="A149" s="35"/>
      <c r="C149" s="138"/>
      <c r="D149" s="35"/>
      <c r="E149" s="146"/>
      <c r="F149" s="146"/>
    </row>
    <row r="150">
      <c r="A150" s="35"/>
      <c r="C150" s="138"/>
      <c r="D150" s="35"/>
      <c r="E150" s="146"/>
      <c r="F150" s="146"/>
    </row>
    <row r="151">
      <c r="A151" s="35"/>
      <c r="C151" s="138"/>
      <c r="D151" s="35"/>
      <c r="E151" s="146"/>
      <c r="F151" s="146"/>
    </row>
    <row r="152">
      <c r="A152" s="35"/>
      <c r="C152" s="138"/>
      <c r="D152" s="35"/>
      <c r="E152" s="146"/>
      <c r="F152" s="146"/>
    </row>
    <row r="153">
      <c r="A153" s="35"/>
      <c r="C153" s="138"/>
      <c r="D153" s="35"/>
      <c r="E153" s="146"/>
      <c r="F153" s="146"/>
    </row>
    <row r="154">
      <c r="A154" s="35"/>
      <c r="C154" s="138"/>
      <c r="D154" s="35"/>
      <c r="E154" s="146"/>
      <c r="F154" s="146"/>
    </row>
    <row r="155">
      <c r="A155" s="35"/>
      <c r="C155" s="138"/>
      <c r="D155" s="35"/>
      <c r="E155" s="146"/>
      <c r="F155" s="146"/>
    </row>
    <row r="156">
      <c r="A156" s="35"/>
      <c r="C156" s="138"/>
      <c r="D156" s="35"/>
      <c r="E156" s="146"/>
      <c r="F156" s="146"/>
    </row>
    <row r="157">
      <c r="A157" s="35"/>
      <c r="C157" s="138"/>
      <c r="D157" s="35"/>
      <c r="E157" s="146"/>
      <c r="F157" s="146"/>
    </row>
    <row r="158">
      <c r="A158" s="35"/>
      <c r="C158" s="138"/>
      <c r="D158" s="35"/>
      <c r="E158" s="146"/>
      <c r="F158" s="146"/>
    </row>
    <row r="159">
      <c r="A159" s="35"/>
      <c r="C159" s="138"/>
      <c r="D159" s="35"/>
      <c r="E159" s="146"/>
      <c r="F159" s="146"/>
    </row>
    <row r="160">
      <c r="A160" s="35"/>
      <c r="C160" s="138"/>
      <c r="D160" s="35"/>
      <c r="E160" s="146"/>
      <c r="F160" s="146"/>
    </row>
    <row r="161">
      <c r="A161" s="35"/>
      <c r="C161" s="138"/>
      <c r="D161" s="35"/>
      <c r="E161" s="146"/>
      <c r="F161" s="146"/>
    </row>
    <row r="162">
      <c r="A162" s="35"/>
      <c r="C162" s="138"/>
      <c r="D162" s="35"/>
      <c r="E162" s="146"/>
      <c r="F162" s="146"/>
    </row>
    <row r="163">
      <c r="A163" s="35"/>
      <c r="C163" s="138"/>
      <c r="D163" s="35"/>
      <c r="E163" s="146"/>
      <c r="F163" s="146"/>
    </row>
    <row r="164">
      <c r="A164" s="35"/>
      <c r="C164" s="138"/>
      <c r="D164" s="35"/>
      <c r="E164" s="146"/>
      <c r="F164" s="146"/>
    </row>
    <row r="165">
      <c r="A165" s="35"/>
      <c r="C165" s="138"/>
      <c r="D165" s="35"/>
      <c r="E165" s="146"/>
      <c r="F165" s="146"/>
    </row>
    <row r="166">
      <c r="A166" s="35"/>
      <c r="C166" s="138"/>
      <c r="D166" s="35"/>
      <c r="E166" s="146"/>
      <c r="F166" s="146"/>
    </row>
    <row r="167">
      <c r="A167" s="35"/>
      <c r="C167" s="138"/>
      <c r="D167" s="35"/>
      <c r="E167" s="146"/>
      <c r="F167" s="146"/>
    </row>
    <row r="168">
      <c r="A168" s="35"/>
      <c r="C168" s="138"/>
      <c r="D168" s="35"/>
      <c r="E168" s="146"/>
      <c r="F168" s="146"/>
    </row>
    <row r="169">
      <c r="A169" s="35"/>
      <c r="C169" s="138"/>
      <c r="D169" s="35"/>
      <c r="E169" s="146"/>
      <c r="F169" s="146"/>
    </row>
    <row r="170">
      <c r="A170" s="35"/>
      <c r="C170" s="138"/>
      <c r="D170" s="35"/>
      <c r="E170" s="146"/>
      <c r="F170" s="146"/>
    </row>
    <row r="171">
      <c r="A171" s="35"/>
      <c r="C171" s="138"/>
      <c r="D171" s="35"/>
      <c r="E171" s="146"/>
      <c r="F171" s="146"/>
    </row>
    <row r="172">
      <c r="A172" s="35"/>
      <c r="C172" s="138"/>
      <c r="D172" s="35"/>
      <c r="E172" s="146"/>
      <c r="F172" s="146"/>
    </row>
    <row r="173">
      <c r="A173" s="35"/>
      <c r="C173" s="138"/>
      <c r="D173" s="35"/>
      <c r="E173" s="146"/>
      <c r="F173" s="146"/>
    </row>
    <row r="174">
      <c r="A174" s="35"/>
      <c r="C174" s="138"/>
      <c r="D174" s="35"/>
      <c r="E174" s="146"/>
      <c r="F174" s="146"/>
    </row>
    <row r="175">
      <c r="A175" s="35"/>
      <c r="C175" s="138"/>
      <c r="D175" s="35"/>
      <c r="E175" s="146"/>
      <c r="F175" s="146"/>
    </row>
    <row r="176">
      <c r="A176" s="35"/>
      <c r="C176" s="138"/>
      <c r="D176" s="35"/>
      <c r="E176" s="146"/>
      <c r="F176" s="146"/>
    </row>
    <row r="177">
      <c r="A177" s="35"/>
      <c r="C177" s="138"/>
      <c r="D177" s="35"/>
      <c r="E177" s="146"/>
      <c r="F177" s="146"/>
    </row>
    <row r="178">
      <c r="A178" s="35"/>
      <c r="C178" s="138"/>
      <c r="D178" s="35"/>
      <c r="E178" s="146"/>
      <c r="F178" s="146"/>
    </row>
    <row r="179">
      <c r="A179" s="35"/>
      <c r="C179" s="138"/>
      <c r="D179" s="35"/>
      <c r="E179" s="146"/>
      <c r="F179" s="146"/>
    </row>
    <row r="180">
      <c r="A180" s="35"/>
      <c r="C180" s="138"/>
      <c r="D180" s="35"/>
      <c r="E180" s="146"/>
      <c r="F180" s="146"/>
    </row>
    <row r="181">
      <c r="A181" s="35"/>
      <c r="C181" s="138"/>
      <c r="D181" s="35"/>
      <c r="E181" s="146"/>
      <c r="F181" s="146"/>
    </row>
    <row r="182">
      <c r="A182" s="35"/>
      <c r="C182" s="138"/>
      <c r="D182" s="35"/>
      <c r="E182" s="146"/>
      <c r="F182" s="146"/>
    </row>
    <row r="183">
      <c r="A183" s="35"/>
      <c r="C183" s="138"/>
      <c r="D183" s="35"/>
      <c r="E183" s="146"/>
      <c r="F183" s="146"/>
    </row>
    <row r="184">
      <c r="A184" s="35"/>
      <c r="C184" s="138"/>
      <c r="D184" s="35"/>
      <c r="E184" s="146"/>
      <c r="F184" s="146"/>
    </row>
    <row r="185">
      <c r="A185" s="35"/>
      <c r="C185" s="138"/>
      <c r="D185" s="35"/>
      <c r="E185" s="146"/>
      <c r="F185" s="146"/>
    </row>
    <row r="186">
      <c r="A186" s="35"/>
      <c r="C186" s="138"/>
      <c r="D186" s="35"/>
      <c r="E186" s="146"/>
      <c r="F186" s="146"/>
    </row>
    <row r="187">
      <c r="A187" s="35"/>
      <c r="C187" s="138"/>
      <c r="D187" s="35"/>
      <c r="E187" s="146"/>
      <c r="F187" s="146"/>
    </row>
    <row r="188">
      <c r="A188" s="35"/>
      <c r="C188" s="138"/>
      <c r="D188" s="35"/>
      <c r="E188" s="146"/>
      <c r="F188" s="146"/>
    </row>
    <row r="189">
      <c r="A189" s="35"/>
      <c r="C189" s="138"/>
      <c r="D189" s="35"/>
      <c r="E189" s="146"/>
      <c r="F189" s="146"/>
    </row>
    <row r="190">
      <c r="A190" s="35"/>
      <c r="C190" s="138"/>
      <c r="D190" s="35"/>
      <c r="E190" s="146"/>
      <c r="F190" s="146"/>
    </row>
    <row r="191">
      <c r="A191" s="35"/>
      <c r="C191" s="138"/>
      <c r="D191" s="35"/>
      <c r="E191" s="146"/>
      <c r="F191" s="146"/>
    </row>
    <row r="192">
      <c r="A192" s="35"/>
      <c r="C192" s="138"/>
      <c r="D192" s="35"/>
      <c r="E192" s="146"/>
      <c r="F192" s="146"/>
    </row>
    <row r="193">
      <c r="A193" s="35"/>
      <c r="C193" s="138"/>
      <c r="D193" s="35"/>
      <c r="E193" s="146"/>
      <c r="F193" s="146"/>
    </row>
    <row r="194">
      <c r="A194" s="35"/>
      <c r="C194" s="138"/>
      <c r="D194" s="35"/>
      <c r="E194" s="146"/>
      <c r="F194" s="146"/>
    </row>
    <row r="195">
      <c r="A195" s="35"/>
      <c r="C195" s="138"/>
      <c r="D195" s="35"/>
      <c r="E195" s="146"/>
      <c r="F195" s="146"/>
    </row>
    <row r="196">
      <c r="A196" s="35"/>
      <c r="C196" s="138"/>
      <c r="D196" s="35"/>
      <c r="E196" s="146"/>
      <c r="F196" s="146"/>
    </row>
    <row r="197">
      <c r="A197" s="35"/>
      <c r="C197" s="138"/>
      <c r="D197" s="35"/>
      <c r="E197" s="146"/>
      <c r="F197" s="146"/>
    </row>
    <row r="198">
      <c r="A198" s="35"/>
      <c r="C198" s="138"/>
      <c r="D198" s="35"/>
      <c r="E198" s="146"/>
      <c r="F198" s="146"/>
    </row>
    <row r="199">
      <c r="A199" s="35"/>
      <c r="C199" s="138"/>
      <c r="D199" s="35"/>
      <c r="E199" s="146"/>
      <c r="F199" s="146"/>
    </row>
    <row r="200">
      <c r="A200" s="35"/>
      <c r="C200" s="138"/>
      <c r="D200" s="35"/>
      <c r="E200" s="146"/>
      <c r="F200" s="146"/>
    </row>
    <row r="201">
      <c r="A201" s="35"/>
      <c r="C201" s="138"/>
      <c r="D201" s="35"/>
      <c r="E201" s="146"/>
      <c r="F201" s="146"/>
    </row>
    <row r="202">
      <c r="A202" s="35"/>
      <c r="C202" s="138"/>
      <c r="D202" s="35"/>
      <c r="E202" s="146"/>
      <c r="F202" s="146"/>
    </row>
    <row r="203">
      <c r="A203" s="35"/>
      <c r="C203" s="138"/>
      <c r="D203" s="35"/>
      <c r="E203" s="146"/>
      <c r="F203" s="146"/>
    </row>
    <row r="204">
      <c r="A204" s="35"/>
      <c r="C204" s="138"/>
      <c r="D204" s="35"/>
      <c r="E204" s="146"/>
      <c r="F204" s="146"/>
    </row>
    <row r="205">
      <c r="A205" s="35"/>
      <c r="C205" s="138"/>
      <c r="D205" s="35"/>
      <c r="E205" s="146"/>
      <c r="F205" s="146"/>
    </row>
    <row r="206">
      <c r="A206" s="35"/>
      <c r="C206" s="138"/>
      <c r="D206" s="35"/>
      <c r="E206" s="146"/>
      <c r="F206" s="146"/>
    </row>
    <row r="207">
      <c r="A207" s="35"/>
      <c r="C207" s="138"/>
      <c r="D207" s="35"/>
      <c r="E207" s="146"/>
      <c r="F207" s="146"/>
    </row>
    <row r="208">
      <c r="A208" s="35"/>
      <c r="C208" s="138"/>
      <c r="D208" s="35"/>
      <c r="E208" s="146"/>
      <c r="F208" s="146"/>
    </row>
    <row r="209">
      <c r="A209" s="35"/>
      <c r="C209" s="138"/>
      <c r="D209" s="35"/>
      <c r="E209" s="146"/>
      <c r="F209" s="146"/>
    </row>
    <row r="210">
      <c r="A210" s="35"/>
      <c r="C210" s="138"/>
      <c r="D210" s="35"/>
      <c r="E210" s="146"/>
      <c r="F210" s="146"/>
    </row>
    <row r="211">
      <c r="A211" s="35"/>
      <c r="C211" s="138"/>
      <c r="D211" s="35"/>
      <c r="E211" s="146"/>
      <c r="F211" s="146"/>
    </row>
    <row r="212">
      <c r="A212" s="35"/>
      <c r="C212" s="138"/>
      <c r="D212" s="35"/>
      <c r="E212" s="146"/>
      <c r="F212" s="146"/>
    </row>
    <row r="213">
      <c r="A213" s="35"/>
      <c r="C213" s="138"/>
      <c r="D213" s="35"/>
      <c r="E213" s="146"/>
      <c r="F213" s="146"/>
    </row>
    <row r="214">
      <c r="A214" s="35"/>
      <c r="C214" s="138"/>
      <c r="D214" s="35"/>
      <c r="E214" s="146"/>
      <c r="F214" s="146"/>
    </row>
    <row r="215">
      <c r="A215" s="35"/>
      <c r="C215" s="138"/>
      <c r="D215" s="35"/>
      <c r="E215" s="146"/>
      <c r="F215" s="146"/>
    </row>
    <row r="216">
      <c r="A216" s="35"/>
      <c r="C216" s="138"/>
      <c r="D216" s="35"/>
      <c r="E216" s="146"/>
      <c r="F216" s="146"/>
    </row>
    <row r="217">
      <c r="A217" s="35"/>
      <c r="C217" s="138"/>
      <c r="D217" s="35"/>
      <c r="E217" s="146"/>
      <c r="F217" s="146"/>
    </row>
    <row r="218">
      <c r="A218" s="35"/>
      <c r="C218" s="138"/>
      <c r="D218" s="35"/>
      <c r="E218" s="146"/>
      <c r="F218" s="146"/>
    </row>
    <row r="219">
      <c r="A219" s="35"/>
      <c r="C219" s="138"/>
      <c r="D219" s="35"/>
      <c r="E219" s="146"/>
      <c r="F219" s="146"/>
    </row>
    <row r="220">
      <c r="A220" s="35"/>
      <c r="C220" s="138"/>
      <c r="D220" s="35"/>
      <c r="E220" s="146"/>
      <c r="F220" s="146"/>
    </row>
    <row r="221">
      <c r="A221" s="35"/>
      <c r="C221" s="138"/>
      <c r="D221" s="35"/>
      <c r="E221" s="146"/>
      <c r="F221" s="146"/>
    </row>
    <row r="222">
      <c r="A222" s="35"/>
      <c r="C222" s="138"/>
      <c r="D222" s="35"/>
      <c r="E222" s="146"/>
      <c r="F222" s="146"/>
    </row>
    <row r="223">
      <c r="A223" s="35"/>
      <c r="C223" s="138"/>
      <c r="D223" s="35"/>
      <c r="E223" s="146"/>
      <c r="F223" s="146"/>
    </row>
    <row r="224">
      <c r="A224" s="35"/>
      <c r="C224" s="138"/>
      <c r="D224" s="35"/>
      <c r="E224" s="146"/>
      <c r="F224" s="146"/>
    </row>
    <row r="225">
      <c r="A225" s="35"/>
      <c r="C225" s="138"/>
      <c r="D225" s="35"/>
      <c r="E225" s="146"/>
      <c r="F225" s="146"/>
    </row>
    <row r="226">
      <c r="A226" s="35"/>
      <c r="C226" s="138"/>
      <c r="D226" s="35"/>
      <c r="E226" s="146"/>
      <c r="F226" s="146"/>
    </row>
    <row r="227">
      <c r="A227" s="35"/>
      <c r="C227" s="138"/>
      <c r="D227" s="35"/>
      <c r="E227" s="146"/>
      <c r="F227" s="146"/>
    </row>
    <row r="228">
      <c r="A228" s="35"/>
      <c r="C228" s="138"/>
      <c r="D228" s="35"/>
      <c r="E228" s="146"/>
      <c r="F228" s="146"/>
    </row>
    <row r="229">
      <c r="A229" s="35"/>
      <c r="C229" s="138"/>
      <c r="D229" s="35"/>
      <c r="E229" s="146"/>
      <c r="F229" s="146"/>
    </row>
    <row r="230">
      <c r="A230" s="35"/>
      <c r="C230" s="138"/>
      <c r="D230" s="35"/>
      <c r="E230" s="146"/>
      <c r="F230" s="146"/>
    </row>
    <row r="231">
      <c r="A231" s="35"/>
      <c r="C231" s="138"/>
      <c r="D231" s="35"/>
      <c r="E231" s="146"/>
      <c r="F231" s="146"/>
    </row>
    <row r="232">
      <c r="A232" s="35"/>
      <c r="C232" s="138"/>
      <c r="D232" s="35"/>
      <c r="E232" s="146"/>
      <c r="F232" s="146"/>
    </row>
    <row r="233">
      <c r="A233" s="35"/>
      <c r="C233" s="138"/>
      <c r="D233" s="35"/>
      <c r="E233" s="146"/>
      <c r="F233" s="146"/>
    </row>
    <row r="234">
      <c r="A234" s="35"/>
      <c r="C234" s="138"/>
      <c r="D234" s="35"/>
      <c r="E234" s="146"/>
      <c r="F234" s="146"/>
    </row>
    <row r="235">
      <c r="A235" s="35"/>
      <c r="C235" s="138"/>
      <c r="D235" s="35"/>
      <c r="E235" s="146"/>
      <c r="F235" s="146"/>
    </row>
    <row r="236">
      <c r="A236" s="35"/>
      <c r="C236" s="138"/>
      <c r="D236" s="35"/>
      <c r="E236" s="146"/>
      <c r="F236" s="146"/>
    </row>
    <row r="237">
      <c r="A237" s="35"/>
      <c r="C237" s="138"/>
      <c r="D237" s="35"/>
      <c r="E237" s="146"/>
      <c r="F237" s="146"/>
    </row>
    <row r="238">
      <c r="A238" s="35"/>
      <c r="C238" s="138"/>
      <c r="D238" s="35"/>
      <c r="E238" s="146"/>
      <c r="F238" s="146"/>
    </row>
    <row r="239">
      <c r="A239" s="35"/>
      <c r="C239" s="138"/>
      <c r="D239" s="35"/>
      <c r="E239" s="146"/>
      <c r="F239" s="146"/>
    </row>
    <row r="240">
      <c r="A240" s="35"/>
      <c r="C240" s="138"/>
      <c r="D240" s="35"/>
      <c r="E240" s="146"/>
      <c r="F240" s="146"/>
    </row>
    <row r="241">
      <c r="A241" s="35"/>
      <c r="C241" s="138"/>
      <c r="D241" s="35"/>
      <c r="E241" s="146"/>
      <c r="F241" s="146"/>
    </row>
    <row r="242">
      <c r="A242" s="35"/>
      <c r="C242" s="138"/>
      <c r="D242" s="35"/>
      <c r="E242" s="146"/>
      <c r="F242" s="146"/>
    </row>
    <row r="243">
      <c r="A243" s="35"/>
      <c r="C243" s="138"/>
      <c r="D243" s="35"/>
      <c r="E243" s="146"/>
      <c r="F243" s="146"/>
    </row>
    <row r="244">
      <c r="A244" s="35"/>
      <c r="C244" s="138"/>
      <c r="D244" s="35"/>
      <c r="E244" s="146"/>
      <c r="F244" s="146"/>
    </row>
    <row r="245">
      <c r="A245" s="35"/>
      <c r="C245" s="138"/>
      <c r="D245" s="35"/>
      <c r="E245" s="146"/>
      <c r="F245" s="146"/>
    </row>
    <row r="246">
      <c r="A246" s="35"/>
      <c r="C246" s="138"/>
      <c r="D246" s="35"/>
      <c r="E246" s="146"/>
      <c r="F246" s="146"/>
    </row>
    <row r="247">
      <c r="A247" s="35"/>
      <c r="C247" s="138"/>
      <c r="D247" s="35"/>
      <c r="E247" s="146"/>
      <c r="F247" s="146"/>
    </row>
    <row r="248">
      <c r="A248" s="35"/>
      <c r="C248" s="138"/>
      <c r="D248" s="35"/>
      <c r="E248" s="146"/>
      <c r="F248" s="146"/>
    </row>
    <row r="249">
      <c r="A249" s="35"/>
      <c r="C249" s="138"/>
      <c r="D249" s="35"/>
      <c r="E249" s="146"/>
      <c r="F249" s="146"/>
    </row>
    <row r="250">
      <c r="A250" s="35"/>
      <c r="C250" s="138"/>
      <c r="D250" s="35"/>
      <c r="E250" s="146"/>
      <c r="F250" s="146"/>
    </row>
    <row r="251">
      <c r="A251" s="35"/>
      <c r="C251" s="138"/>
      <c r="D251" s="35"/>
      <c r="E251" s="146"/>
      <c r="F251" s="146"/>
    </row>
    <row r="252">
      <c r="A252" s="35"/>
      <c r="C252" s="138"/>
      <c r="D252" s="35"/>
      <c r="E252" s="146"/>
      <c r="F252" s="146"/>
    </row>
    <row r="253">
      <c r="A253" s="35"/>
      <c r="C253" s="138"/>
      <c r="D253" s="35"/>
      <c r="E253" s="146"/>
      <c r="F253" s="146"/>
    </row>
    <row r="254">
      <c r="A254" s="35"/>
      <c r="C254" s="138"/>
      <c r="D254" s="35"/>
      <c r="E254" s="146"/>
      <c r="F254" s="146"/>
    </row>
    <row r="255">
      <c r="A255" s="35"/>
      <c r="C255" s="138"/>
      <c r="D255" s="35"/>
      <c r="E255" s="146"/>
      <c r="F255" s="146"/>
    </row>
    <row r="256">
      <c r="A256" s="35"/>
      <c r="C256" s="138"/>
      <c r="D256" s="35"/>
      <c r="E256" s="146"/>
      <c r="F256" s="146"/>
    </row>
    <row r="257">
      <c r="A257" s="35"/>
      <c r="C257" s="138"/>
      <c r="D257" s="35"/>
      <c r="E257" s="146"/>
      <c r="F257" s="146"/>
    </row>
    <row r="258">
      <c r="A258" s="35"/>
      <c r="C258" s="138"/>
      <c r="D258" s="35"/>
      <c r="E258" s="146"/>
      <c r="F258" s="146"/>
    </row>
    <row r="259">
      <c r="A259" s="35"/>
      <c r="C259" s="138"/>
      <c r="D259" s="35"/>
      <c r="E259" s="146"/>
      <c r="F259" s="146"/>
    </row>
    <row r="260">
      <c r="A260" s="35"/>
      <c r="C260" s="138"/>
      <c r="D260" s="35"/>
      <c r="E260" s="146"/>
      <c r="F260" s="146"/>
    </row>
    <row r="261">
      <c r="A261" s="35"/>
      <c r="C261" s="138"/>
      <c r="D261" s="35"/>
      <c r="E261" s="146"/>
      <c r="F261" s="146"/>
    </row>
    <row r="262">
      <c r="A262" s="35"/>
      <c r="C262" s="138"/>
      <c r="D262" s="35"/>
      <c r="E262" s="146"/>
      <c r="F262" s="146"/>
    </row>
    <row r="263">
      <c r="A263" s="35"/>
      <c r="C263" s="138"/>
      <c r="D263" s="35"/>
      <c r="E263" s="146"/>
      <c r="F263" s="146"/>
    </row>
    <row r="264">
      <c r="A264" s="35"/>
      <c r="C264" s="138"/>
      <c r="D264" s="35"/>
      <c r="E264" s="146"/>
      <c r="F264" s="146"/>
    </row>
    <row r="265">
      <c r="A265" s="35"/>
      <c r="C265" s="138"/>
      <c r="D265" s="35"/>
      <c r="E265" s="146"/>
      <c r="F265" s="146"/>
    </row>
    <row r="266">
      <c r="A266" s="35"/>
      <c r="C266" s="138"/>
      <c r="D266" s="35"/>
      <c r="E266" s="146"/>
      <c r="F266" s="146"/>
    </row>
    <row r="267">
      <c r="A267" s="35"/>
      <c r="C267" s="138"/>
      <c r="D267" s="35"/>
      <c r="E267" s="146"/>
      <c r="F267" s="146"/>
    </row>
    <row r="268">
      <c r="A268" s="35"/>
      <c r="C268" s="138"/>
      <c r="D268" s="35"/>
      <c r="E268" s="146"/>
      <c r="F268" s="146"/>
    </row>
    <row r="269">
      <c r="A269" s="35"/>
      <c r="C269" s="138"/>
      <c r="D269" s="35"/>
      <c r="E269" s="146"/>
      <c r="F269" s="146"/>
    </row>
    <row r="270">
      <c r="A270" s="35"/>
      <c r="C270" s="138"/>
      <c r="D270" s="35"/>
      <c r="E270" s="146"/>
      <c r="F270" s="146"/>
    </row>
    <row r="271">
      <c r="A271" s="35"/>
      <c r="C271" s="138"/>
      <c r="D271" s="35"/>
      <c r="E271" s="146"/>
      <c r="F271" s="146"/>
    </row>
    <row r="272">
      <c r="A272" s="35"/>
      <c r="C272" s="138"/>
      <c r="D272" s="35"/>
      <c r="E272" s="146"/>
      <c r="F272" s="146"/>
    </row>
    <row r="273">
      <c r="A273" s="35"/>
      <c r="C273" s="138"/>
      <c r="D273" s="35"/>
      <c r="E273" s="146"/>
      <c r="F273" s="146"/>
    </row>
    <row r="274">
      <c r="A274" s="35"/>
      <c r="C274" s="138"/>
      <c r="D274" s="35"/>
      <c r="E274" s="146"/>
      <c r="F274" s="146"/>
    </row>
    <row r="275">
      <c r="A275" s="35"/>
      <c r="C275" s="138"/>
      <c r="D275" s="35"/>
      <c r="E275" s="146"/>
      <c r="F275" s="146"/>
    </row>
    <row r="276">
      <c r="A276" s="35"/>
      <c r="C276" s="138"/>
      <c r="D276" s="35"/>
      <c r="E276" s="146"/>
      <c r="F276" s="146"/>
    </row>
    <row r="277">
      <c r="A277" s="35"/>
      <c r="C277" s="138"/>
      <c r="D277" s="35"/>
      <c r="E277" s="146"/>
      <c r="F277" s="146"/>
    </row>
    <row r="278">
      <c r="A278" s="35"/>
      <c r="C278" s="138"/>
      <c r="D278" s="35"/>
      <c r="E278" s="146"/>
      <c r="F278" s="146"/>
    </row>
    <row r="279">
      <c r="A279" s="35"/>
      <c r="C279" s="138"/>
      <c r="D279" s="35"/>
      <c r="E279" s="146"/>
      <c r="F279" s="146"/>
    </row>
    <row r="280">
      <c r="A280" s="35"/>
      <c r="C280" s="138"/>
      <c r="D280" s="35"/>
      <c r="E280" s="146"/>
      <c r="F280" s="146"/>
    </row>
    <row r="281">
      <c r="A281" s="35"/>
      <c r="C281" s="138"/>
      <c r="D281" s="35"/>
      <c r="E281" s="146"/>
      <c r="F281" s="146"/>
    </row>
    <row r="282">
      <c r="A282" s="35"/>
      <c r="C282" s="138"/>
      <c r="D282" s="35"/>
      <c r="E282" s="146"/>
      <c r="F282" s="146"/>
    </row>
    <row r="283">
      <c r="A283" s="35"/>
      <c r="C283" s="138"/>
      <c r="D283" s="35"/>
      <c r="E283" s="146"/>
      <c r="F283" s="146"/>
    </row>
    <row r="284">
      <c r="A284" s="35"/>
      <c r="C284" s="138"/>
      <c r="D284" s="35"/>
      <c r="E284" s="146"/>
      <c r="F284" s="146"/>
    </row>
    <row r="285">
      <c r="A285" s="35"/>
      <c r="C285" s="138"/>
      <c r="D285" s="35"/>
      <c r="E285" s="146"/>
      <c r="F285" s="146"/>
    </row>
    <row r="286">
      <c r="A286" s="35"/>
      <c r="C286" s="138"/>
      <c r="D286" s="35"/>
      <c r="E286" s="146"/>
      <c r="F286" s="146"/>
    </row>
    <row r="287">
      <c r="A287" s="35"/>
      <c r="C287" s="138"/>
      <c r="D287" s="35"/>
      <c r="E287" s="146"/>
      <c r="F287" s="146"/>
    </row>
    <row r="288">
      <c r="A288" s="35"/>
      <c r="C288" s="138"/>
      <c r="D288" s="35"/>
      <c r="E288" s="146"/>
      <c r="F288" s="146"/>
    </row>
    <row r="289">
      <c r="A289" s="35"/>
      <c r="C289" s="138"/>
      <c r="D289" s="35"/>
      <c r="E289" s="146"/>
      <c r="F289" s="146"/>
    </row>
    <row r="290">
      <c r="A290" s="35"/>
      <c r="C290" s="138"/>
      <c r="D290" s="35"/>
      <c r="E290" s="146"/>
      <c r="F290" s="146"/>
    </row>
    <row r="291">
      <c r="A291" s="35"/>
      <c r="C291" s="138"/>
      <c r="D291" s="35"/>
      <c r="E291" s="146"/>
      <c r="F291" s="146"/>
    </row>
    <row r="292">
      <c r="A292" s="35"/>
      <c r="C292" s="138"/>
      <c r="D292" s="35"/>
      <c r="E292" s="146"/>
      <c r="F292" s="146"/>
    </row>
    <row r="293">
      <c r="A293" s="35"/>
      <c r="C293" s="138"/>
      <c r="D293" s="35"/>
      <c r="E293" s="146"/>
      <c r="F293" s="146"/>
    </row>
    <row r="294">
      <c r="A294" s="35"/>
      <c r="C294" s="138"/>
      <c r="D294" s="35"/>
      <c r="E294" s="146"/>
      <c r="F294" s="146"/>
    </row>
    <row r="295">
      <c r="A295" s="35"/>
      <c r="C295" s="138"/>
      <c r="D295" s="35"/>
      <c r="E295" s="146"/>
      <c r="F295" s="146"/>
    </row>
    <row r="296">
      <c r="A296" s="35"/>
      <c r="C296" s="138"/>
      <c r="D296" s="35"/>
      <c r="E296" s="146"/>
      <c r="F296" s="146"/>
    </row>
    <row r="297">
      <c r="A297" s="35"/>
      <c r="C297" s="138"/>
      <c r="D297" s="35"/>
      <c r="E297" s="146"/>
      <c r="F297" s="146"/>
    </row>
    <row r="298">
      <c r="A298" s="35"/>
      <c r="C298" s="138"/>
      <c r="D298" s="35"/>
      <c r="E298" s="146"/>
      <c r="F298" s="146"/>
    </row>
    <row r="299">
      <c r="A299" s="35"/>
      <c r="C299" s="138"/>
      <c r="D299" s="35"/>
      <c r="E299" s="146"/>
      <c r="F299" s="146"/>
    </row>
    <row r="300">
      <c r="A300" s="35"/>
      <c r="C300" s="138"/>
      <c r="D300" s="35"/>
      <c r="E300" s="146"/>
      <c r="F300" s="146"/>
    </row>
    <row r="301">
      <c r="A301" s="35"/>
      <c r="C301" s="138"/>
      <c r="D301" s="35"/>
      <c r="E301" s="146"/>
      <c r="F301" s="146"/>
    </row>
    <row r="302">
      <c r="A302" s="35"/>
      <c r="C302" s="138"/>
      <c r="D302" s="35"/>
      <c r="E302" s="146"/>
      <c r="F302" s="146"/>
    </row>
    <row r="303">
      <c r="A303" s="35"/>
      <c r="C303" s="138"/>
      <c r="D303" s="35"/>
      <c r="E303" s="146"/>
      <c r="F303" s="146"/>
    </row>
    <row r="304">
      <c r="A304" s="35"/>
      <c r="C304" s="138"/>
      <c r="D304" s="35"/>
      <c r="E304" s="146"/>
      <c r="F304" s="146"/>
    </row>
    <row r="305">
      <c r="A305" s="35"/>
      <c r="C305" s="138"/>
      <c r="D305" s="35"/>
      <c r="E305" s="146"/>
      <c r="F305" s="146"/>
    </row>
    <row r="306">
      <c r="A306" s="35"/>
      <c r="C306" s="138"/>
      <c r="D306" s="35"/>
      <c r="E306" s="146"/>
      <c r="F306" s="146"/>
    </row>
    <row r="307">
      <c r="A307" s="35"/>
      <c r="C307" s="138"/>
      <c r="D307" s="35"/>
      <c r="E307" s="146"/>
      <c r="F307" s="146"/>
    </row>
    <row r="308">
      <c r="A308" s="35"/>
      <c r="C308" s="138"/>
      <c r="D308" s="35"/>
      <c r="E308" s="146"/>
      <c r="F308" s="146"/>
    </row>
    <row r="309">
      <c r="A309" s="35"/>
      <c r="C309" s="138"/>
      <c r="D309" s="35"/>
      <c r="E309" s="146"/>
      <c r="F309" s="146"/>
    </row>
    <row r="310">
      <c r="A310" s="35"/>
      <c r="C310" s="138"/>
      <c r="D310" s="35"/>
      <c r="E310" s="146"/>
      <c r="F310" s="146"/>
    </row>
    <row r="311">
      <c r="A311" s="35"/>
      <c r="C311" s="138"/>
      <c r="D311" s="35"/>
      <c r="E311" s="146"/>
      <c r="F311" s="146"/>
    </row>
    <row r="312">
      <c r="A312" s="35"/>
      <c r="C312" s="138"/>
      <c r="D312" s="35"/>
      <c r="E312" s="146"/>
      <c r="F312" s="146"/>
    </row>
    <row r="313">
      <c r="A313" s="35"/>
      <c r="C313" s="138"/>
      <c r="D313" s="35"/>
      <c r="E313" s="146"/>
      <c r="F313" s="146"/>
    </row>
    <row r="314">
      <c r="A314" s="35"/>
      <c r="C314" s="138"/>
      <c r="D314" s="35"/>
      <c r="E314" s="146"/>
      <c r="F314" s="146"/>
    </row>
    <row r="315">
      <c r="A315" s="35"/>
      <c r="C315" s="138"/>
      <c r="D315" s="35"/>
      <c r="E315" s="146"/>
      <c r="F315" s="146"/>
    </row>
    <row r="316">
      <c r="A316" s="35"/>
      <c r="C316" s="138"/>
      <c r="D316" s="35"/>
      <c r="E316" s="146"/>
      <c r="F316" s="146"/>
    </row>
    <row r="317">
      <c r="A317" s="35"/>
      <c r="C317" s="138"/>
      <c r="D317" s="35"/>
      <c r="E317" s="146"/>
      <c r="F317" s="146"/>
    </row>
    <row r="318">
      <c r="A318" s="35"/>
      <c r="C318" s="138"/>
      <c r="D318" s="35"/>
      <c r="E318" s="146"/>
      <c r="F318" s="146"/>
    </row>
    <row r="319">
      <c r="A319" s="35"/>
      <c r="C319" s="138"/>
      <c r="D319" s="35"/>
      <c r="E319" s="146"/>
      <c r="F319" s="146"/>
    </row>
    <row r="320">
      <c r="A320" s="35"/>
      <c r="C320" s="138"/>
      <c r="D320" s="35"/>
      <c r="E320" s="146"/>
      <c r="F320" s="146"/>
    </row>
    <row r="321">
      <c r="A321" s="35"/>
      <c r="C321" s="138"/>
      <c r="D321" s="35"/>
      <c r="E321" s="146"/>
      <c r="F321" s="146"/>
    </row>
    <row r="322">
      <c r="A322" s="35"/>
      <c r="C322" s="138"/>
      <c r="D322" s="35"/>
      <c r="E322" s="146"/>
      <c r="F322" s="146"/>
    </row>
    <row r="323">
      <c r="A323" s="35"/>
      <c r="C323" s="138"/>
      <c r="D323" s="35"/>
      <c r="E323" s="146"/>
      <c r="F323" s="146"/>
    </row>
    <row r="324">
      <c r="A324" s="35"/>
      <c r="C324" s="138"/>
      <c r="D324" s="35"/>
      <c r="E324" s="146"/>
      <c r="F324" s="146"/>
    </row>
    <row r="325">
      <c r="A325" s="35"/>
      <c r="C325" s="138"/>
      <c r="D325" s="35"/>
      <c r="E325" s="146"/>
      <c r="F325" s="146"/>
    </row>
    <row r="326">
      <c r="A326" s="35"/>
      <c r="C326" s="138"/>
      <c r="D326" s="35"/>
      <c r="E326" s="146"/>
      <c r="F326" s="146"/>
    </row>
    <row r="327">
      <c r="A327" s="35"/>
      <c r="C327" s="138"/>
      <c r="D327" s="35"/>
      <c r="E327" s="146"/>
      <c r="F327" s="146"/>
    </row>
    <row r="328">
      <c r="A328" s="35"/>
      <c r="C328" s="138"/>
      <c r="D328" s="35"/>
      <c r="E328" s="146"/>
      <c r="F328" s="146"/>
    </row>
    <row r="329">
      <c r="A329" s="35"/>
      <c r="C329" s="138"/>
      <c r="D329" s="35"/>
      <c r="E329" s="146"/>
      <c r="F329" s="146"/>
    </row>
    <row r="330">
      <c r="A330" s="35"/>
      <c r="C330" s="138"/>
      <c r="D330" s="35"/>
      <c r="E330" s="146"/>
      <c r="F330" s="146"/>
    </row>
    <row r="331">
      <c r="A331" s="35"/>
      <c r="C331" s="138"/>
      <c r="D331" s="35"/>
      <c r="E331" s="146"/>
      <c r="F331" s="146"/>
    </row>
    <row r="332">
      <c r="A332" s="35"/>
      <c r="C332" s="138"/>
      <c r="D332" s="35"/>
      <c r="E332" s="146"/>
      <c r="F332" s="146"/>
    </row>
    <row r="333">
      <c r="A333" s="35"/>
      <c r="C333" s="138"/>
      <c r="D333" s="35"/>
      <c r="E333" s="146"/>
      <c r="F333" s="146"/>
    </row>
    <row r="334">
      <c r="A334" s="35"/>
      <c r="C334" s="138"/>
      <c r="D334" s="35"/>
      <c r="E334" s="146"/>
      <c r="F334" s="146"/>
    </row>
    <row r="335">
      <c r="A335" s="35"/>
      <c r="C335" s="138"/>
      <c r="D335" s="35"/>
      <c r="E335" s="146"/>
      <c r="F335" s="146"/>
    </row>
    <row r="336">
      <c r="A336" s="35"/>
      <c r="C336" s="138"/>
      <c r="D336" s="35"/>
      <c r="E336" s="146"/>
      <c r="F336" s="146"/>
    </row>
    <row r="337">
      <c r="A337" s="35"/>
      <c r="C337" s="138"/>
      <c r="D337" s="35"/>
      <c r="E337" s="146"/>
      <c r="F337" s="146"/>
    </row>
    <row r="338">
      <c r="A338" s="35"/>
      <c r="C338" s="138"/>
      <c r="D338" s="35"/>
      <c r="E338" s="146"/>
      <c r="F338" s="146"/>
    </row>
    <row r="339">
      <c r="A339" s="35"/>
      <c r="C339" s="138"/>
      <c r="D339" s="35"/>
      <c r="E339" s="146"/>
      <c r="F339" s="146"/>
    </row>
    <row r="340">
      <c r="A340" s="35"/>
      <c r="C340" s="138"/>
      <c r="D340" s="35"/>
      <c r="E340" s="146"/>
      <c r="F340" s="146"/>
    </row>
    <row r="341">
      <c r="A341" s="35"/>
      <c r="C341" s="138"/>
      <c r="D341" s="35"/>
      <c r="E341" s="146"/>
      <c r="F341" s="146"/>
    </row>
    <row r="342">
      <c r="A342" s="35"/>
      <c r="C342" s="138"/>
      <c r="D342" s="35"/>
      <c r="E342" s="146"/>
      <c r="F342" s="146"/>
    </row>
    <row r="343">
      <c r="A343" s="35"/>
      <c r="C343" s="138"/>
      <c r="D343" s="35"/>
      <c r="E343" s="146"/>
      <c r="F343" s="146"/>
    </row>
    <row r="344">
      <c r="A344" s="35"/>
      <c r="C344" s="138"/>
      <c r="D344" s="35"/>
      <c r="E344" s="146"/>
      <c r="F344" s="146"/>
    </row>
    <row r="345">
      <c r="A345" s="35"/>
      <c r="C345" s="138"/>
      <c r="D345" s="35"/>
      <c r="E345" s="146"/>
      <c r="F345" s="146"/>
    </row>
    <row r="346">
      <c r="A346" s="35"/>
      <c r="C346" s="138"/>
      <c r="D346" s="35"/>
      <c r="E346" s="146"/>
      <c r="F346" s="146"/>
    </row>
    <row r="347">
      <c r="A347" s="35"/>
      <c r="C347" s="138"/>
      <c r="D347" s="35"/>
      <c r="E347" s="146"/>
      <c r="F347" s="146"/>
    </row>
    <row r="348">
      <c r="A348" s="35"/>
      <c r="C348" s="138"/>
      <c r="D348" s="35"/>
      <c r="E348" s="146"/>
      <c r="F348" s="146"/>
    </row>
    <row r="349">
      <c r="A349" s="35"/>
      <c r="C349" s="138"/>
      <c r="D349" s="35"/>
      <c r="E349" s="146"/>
      <c r="F349" s="146"/>
    </row>
    <row r="350">
      <c r="A350" s="35"/>
      <c r="C350" s="138"/>
      <c r="D350" s="35"/>
      <c r="E350" s="146"/>
      <c r="F350" s="146"/>
    </row>
    <row r="351">
      <c r="A351" s="35"/>
      <c r="C351" s="138"/>
      <c r="D351" s="35"/>
      <c r="E351" s="146"/>
      <c r="F351" s="146"/>
    </row>
    <row r="352">
      <c r="A352" s="35"/>
      <c r="C352" s="138"/>
      <c r="D352" s="35"/>
      <c r="E352" s="146"/>
      <c r="F352" s="146"/>
    </row>
    <row r="353">
      <c r="A353" s="35"/>
      <c r="C353" s="138"/>
      <c r="D353" s="35"/>
      <c r="E353" s="146"/>
      <c r="F353" s="146"/>
    </row>
    <row r="354">
      <c r="A354" s="35"/>
      <c r="C354" s="138"/>
      <c r="D354" s="35"/>
      <c r="E354" s="146"/>
      <c r="F354" s="146"/>
    </row>
    <row r="355">
      <c r="A355" s="35"/>
      <c r="C355" s="138"/>
      <c r="D355" s="35"/>
      <c r="E355" s="146"/>
      <c r="F355" s="146"/>
    </row>
    <row r="356">
      <c r="A356" s="35"/>
      <c r="C356" s="138"/>
      <c r="D356" s="35"/>
      <c r="E356" s="146"/>
      <c r="F356" s="146"/>
    </row>
    <row r="357">
      <c r="A357" s="35"/>
      <c r="C357" s="138"/>
      <c r="D357" s="35"/>
      <c r="E357" s="146"/>
      <c r="F357" s="146"/>
    </row>
    <row r="358">
      <c r="A358" s="35"/>
      <c r="C358" s="138"/>
      <c r="D358" s="35"/>
      <c r="E358" s="146"/>
      <c r="F358" s="146"/>
    </row>
    <row r="359">
      <c r="A359" s="35"/>
      <c r="C359" s="138"/>
      <c r="D359" s="35"/>
      <c r="E359" s="146"/>
      <c r="F359" s="146"/>
    </row>
    <row r="360">
      <c r="A360" s="35"/>
      <c r="C360" s="138"/>
      <c r="D360" s="35"/>
      <c r="E360" s="146"/>
      <c r="F360" s="146"/>
    </row>
    <row r="361">
      <c r="A361" s="35"/>
      <c r="C361" s="138"/>
      <c r="D361" s="35"/>
      <c r="E361" s="146"/>
      <c r="F361" s="146"/>
    </row>
    <row r="362">
      <c r="A362" s="35"/>
      <c r="C362" s="138"/>
      <c r="D362" s="35"/>
      <c r="E362" s="146"/>
      <c r="F362" s="146"/>
    </row>
    <row r="363">
      <c r="A363" s="35"/>
      <c r="C363" s="138"/>
      <c r="D363" s="35"/>
      <c r="E363" s="146"/>
      <c r="F363" s="146"/>
    </row>
    <row r="364">
      <c r="A364" s="35"/>
      <c r="C364" s="138"/>
      <c r="D364" s="35"/>
      <c r="E364" s="146"/>
      <c r="F364" s="146"/>
    </row>
    <row r="365">
      <c r="A365" s="35"/>
      <c r="C365" s="138"/>
      <c r="D365" s="35"/>
      <c r="E365" s="146"/>
      <c r="F365" s="146"/>
    </row>
    <row r="366">
      <c r="A366" s="35"/>
      <c r="C366" s="138"/>
      <c r="D366" s="35"/>
      <c r="E366" s="146"/>
      <c r="F366" s="146"/>
    </row>
    <row r="367">
      <c r="A367" s="35"/>
      <c r="C367" s="138"/>
      <c r="D367" s="35"/>
      <c r="E367" s="146"/>
      <c r="F367" s="146"/>
    </row>
    <row r="368">
      <c r="A368" s="35"/>
      <c r="C368" s="138"/>
      <c r="D368" s="35"/>
      <c r="E368" s="146"/>
      <c r="F368" s="146"/>
    </row>
    <row r="369">
      <c r="A369" s="35"/>
      <c r="C369" s="138"/>
      <c r="D369" s="35"/>
      <c r="E369" s="146"/>
      <c r="F369" s="146"/>
    </row>
    <row r="370">
      <c r="A370" s="35"/>
      <c r="C370" s="138"/>
      <c r="D370" s="35"/>
      <c r="E370" s="146"/>
      <c r="F370" s="146"/>
    </row>
    <row r="371">
      <c r="A371" s="35"/>
      <c r="C371" s="138"/>
      <c r="D371" s="35"/>
      <c r="E371" s="146"/>
      <c r="F371" s="146"/>
    </row>
    <row r="372">
      <c r="A372" s="35"/>
      <c r="C372" s="138"/>
      <c r="D372" s="35"/>
      <c r="E372" s="146"/>
      <c r="F372" s="146"/>
    </row>
    <row r="373">
      <c r="A373" s="35"/>
      <c r="C373" s="138"/>
      <c r="D373" s="35"/>
      <c r="E373" s="146"/>
      <c r="F373" s="146"/>
    </row>
    <row r="374">
      <c r="A374" s="35"/>
      <c r="C374" s="138"/>
      <c r="D374" s="35"/>
      <c r="E374" s="146"/>
      <c r="F374" s="146"/>
    </row>
    <row r="375">
      <c r="A375" s="35"/>
      <c r="C375" s="138"/>
      <c r="D375" s="35"/>
      <c r="E375" s="146"/>
      <c r="F375" s="146"/>
    </row>
    <row r="376">
      <c r="A376" s="35"/>
      <c r="C376" s="138"/>
      <c r="D376" s="35"/>
      <c r="E376" s="146"/>
      <c r="F376" s="146"/>
    </row>
    <row r="377">
      <c r="A377" s="35"/>
      <c r="C377" s="138"/>
      <c r="D377" s="35"/>
      <c r="E377" s="146"/>
      <c r="F377" s="146"/>
    </row>
    <row r="378">
      <c r="A378" s="35"/>
      <c r="C378" s="138"/>
      <c r="D378" s="35"/>
      <c r="E378" s="146"/>
      <c r="F378" s="146"/>
    </row>
    <row r="379">
      <c r="A379" s="35"/>
      <c r="C379" s="138"/>
      <c r="D379" s="35"/>
      <c r="E379" s="146"/>
      <c r="F379" s="146"/>
    </row>
    <row r="380">
      <c r="A380" s="35"/>
      <c r="C380" s="138"/>
      <c r="D380" s="35"/>
      <c r="E380" s="146"/>
      <c r="F380" s="146"/>
    </row>
    <row r="381">
      <c r="A381" s="35"/>
      <c r="C381" s="138"/>
      <c r="D381" s="35"/>
      <c r="E381" s="146"/>
      <c r="F381" s="146"/>
    </row>
    <row r="382">
      <c r="A382" s="35"/>
      <c r="C382" s="138"/>
      <c r="D382" s="35"/>
      <c r="E382" s="146"/>
      <c r="F382" s="146"/>
    </row>
    <row r="383">
      <c r="A383" s="35"/>
      <c r="C383" s="138"/>
      <c r="D383" s="35"/>
      <c r="E383" s="146"/>
      <c r="F383" s="146"/>
    </row>
    <row r="384">
      <c r="A384" s="35"/>
      <c r="C384" s="138"/>
      <c r="D384" s="35"/>
      <c r="E384" s="146"/>
      <c r="F384" s="146"/>
    </row>
    <row r="385">
      <c r="A385" s="35"/>
      <c r="C385" s="138"/>
      <c r="D385" s="35"/>
      <c r="E385" s="146"/>
      <c r="F385" s="146"/>
    </row>
    <row r="386">
      <c r="A386" s="35"/>
      <c r="C386" s="138"/>
      <c r="D386" s="35"/>
      <c r="E386" s="146"/>
      <c r="F386" s="146"/>
    </row>
    <row r="387">
      <c r="A387" s="35"/>
      <c r="C387" s="138"/>
      <c r="D387" s="35"/>
      <c r="E387" s="146"/>
      <c r="F387" s="146"/>
    </row>
    <row r="388">
      <c r="A388" s="35"/>
      <c r="C388" s="138"/>
      <c r="D388" s="35"/>
      <c r="E388" s="146"/>
      <c r="F388" s="146"/>
    </row>
    <row r="389">
      <c r="A389" s="35"/>
      <c r="C389" s="138"/>
      <c r="D389" s="35"/>
      <c r="E389" s="146"/>
      <c r="F389" s="146"/>
    </row>
    <row r="390">
      <c r="A390" s="35"/>
      <c r="C390" s="138"/>
      <c r="D390" s="35"/>
      <c r="E390" s="146"/>
      <c r="F390" s="146"/>
    </row>
    <row r="391">
      <c r="A391" s="35"/>
      <c r="C391" s="138"/>
      <c r="D391" s="35"/>
      <c r="E391" s="146"/>
      <c r="F391" s="146"/>
    </row>
    <row r="392">
      <c r="A392" s="35"/>
      <c r="C392" s="138"/>
      <c r="D392" s="35"/>
      <c r="E392" s="146"/>
      <c r="F392" s="146"/>
    </row>
    <row r="393">
      <c r="A393" s="35"/>
      <c r="C393" s="138"/>
      <c r="D393" s="35"/>
      <c r="E393" s="146"/>
      <c r="F393" s="146"/>
    </row>
    <row r="394">
      <c r="A394" s="35"/>
      <c r="C394" s="138"/>
      <c r="D394" s="35"/>
      <c r="E394" s="146"/>
      <c r="F394" s="146"/>
    </row>
    <row r="395">
      <c r="A395" s="35"/>
      <c r="C395" s="138"/>
      <c r="D395" s="35"/>
      <c r="E395" s="146"/>
      <c r="F395" s="146"/>
    </row>
    <row r="396">
      <c r="A396" s="35"/>
      <c r="C396" s="138"/>
      <c r="D396" s="35"/>
      <c r="E396" s="146"/>
      <c r="F396" s="146"/>
    </row>
    <row r="397">
      <c r="A397" s="35"/>
      <c r="C397" s="138"/>
      <c r="D397" s="35"/>
      <c r="E397" s="146"/>
      <c r="F397" s="146"/>
    </row>
    <row r="398">
      <c r="A398" s="35"/>
      <c r="C398" s="138"/>
      <c r="D398" s="35"/>
      <c r="E398" s="146"/>
      <c r="F398" s="146"/>
    </row>
    <row r="399">
      <c r="A399" s="35"/>
      <c r="C399" s="138"/>
      <c r="D399" s="35"/>
      <c r="E399" s="146"/>
      <c r="F399" s="146"/>
    </row>
    <row r="400">
      <c r="A400" s="35"/>
      <c r="C400" s="138"/>
      <c r="D400" s="35"/>
      <c r="E400" s="146"/>
      <c r="F400" s="146"/>
    </row>
    <row r="401">
      <c r="A401" s="35"/>
      <c r="C401" s="138"/>
      <c r="D401" s="35"/>
      <c r="E401" s="146"/>
      <c r="F401" s="146"/>
    </row>
    <row r="402">
      <c r="A402" s="35"/>
      <c r="C402" s="138"/>
      <c r="D402" s="35"/>
      <c r="E402" s="146"/>
      <c r="F402" s="146"/>
    </row>
    <row r="403">
      <c r="A403" s="35"/>
      <c r="C403" s="138"/>
      <c r="D403" s="35"/>
      <c r="E403" s="146"/>
      <c r="F403" s="146"/>
    </row>
    <row r="404">
      <c r="A404" s="35"/>
      <c r="C404" s="138"/>
      <c r="D404" s="35"/>
      <c r="E404" s="146"/>
      <c r="F404" s="146"/>
    </row>
    <row r="405">
      <c r="A405" s="35"/>
      <c r="C405" s="138"/>
      <c r="D405" s="35"/>
      <c r="E405" s="146"/>
      <c r="F405" s="146"/>
    </row>
    <row r="406">
      <c r="A406" s="35"/>
      <c r="C406" s="138"/>
      <c r="D406" s="35"/>
      <c r="E406" s="146"/>
      <c r="F406" s="146"/>
    </row>
    <row r="407">
      <c r="A407" s="35"/>
      <c r="C407" s="138"/>
      <c r="D407" s="35"/>
      <c r="E407" s="146"/>
      <c r="F407" s="146"/>
    </row>
    <row r="408">
      <c r="A408" s="35"/>
      <c r="C408" s="138"/>
      <c r="D408" s="35"/>
      <c r="E408" s="146"/>
      <c r="F408" s="146"/>
    </row>
    <row r="409">
      <c r="A409" s="35"/>
      <c r="C409" s="138"/>
      <c r="D409" s="35"/>
      <c r="E409" s="146"/>
      <c r="F409" s="146"/>
    </row>
    <row r="410">
      <c r="A410" s="35"/>
      <c r="C410" s="138"/>
      <c r="D410" s="35"/>
      <c r="E410" s="146"/>
      <c r="F410" s="146"/>
    </row>
    <row r="411">
      <c r="A411" s="35"/>
      <c r="C411" s="138"/>
      <c r="D411" s="35"/>
      <c r="E411" s="146"/>
      <c r="F411" s="146"/>
    </row>
    <row r="412">
      <c r="A412" s="35"/>
      <c r="C412" s="138"/>
      <c r="D412" s="35"/>
      <c r="E412" s="146"/>
      <c r="F412" s="146"/>
    </row>
    <row r="413">
      <c r="A413" s="35"/>
      <c r="C413" s="138"/>
      <c r="D413" s="35"/>
      <c r="E413" s="146"/>
      <c r="F413" s="146"/>
    </row>
    <row r="414">
      <c r="A414" s="35"/>
      <c r="C414" s="138"/>
      <c r="D414" s="35"/>
      <c r="E414" s="146"/>
      <c r="F414" s="146"/>
    </row>
    <row r="415">
      <c r="A415" s="35"/>
      <c r="C415" s="138"/>
      <c r="D415" s="35"/>
      <c r="E415" s="146"/>
      <c r="F415" s="146"/>
    </row>
    <row r="416">
      <c r="A416" s="35"/>
      <c r="C416" s="138"/>
      <c r="D416" s="35"/>
      <c r="E416" s="146"/>
      <c r="F416" s="146"/>
    </row>
    <row r="417">
      <c r="A417" s="35"/>
      <c r="C417" s="138"/>
      <c r="D417" s="35"/>
      <c r="E417" s="146"/>
      <c r="F417" s="146"/>
    </row>
    <row r="418">
      <c r="A418" s="35"/>
      <c r="C418" s="138"/>
      <c r="D418" s="35"/>
      <c r="E418" s="146"/>
      <c r="F418" s="146"/>
    </row>
    <row r="419">
      <c r="A419" s="35"/>
      <c r="C419" s="138"/>
      <c r="D419" s="35"/>
      <c r="E419" s="146"/>
      <c r="F419" s="146"/>
    </row>
    <row r="420">
      <c r="A420" s="35"/>
      <c r="C420" s="138"/>
      <c r="D420" s="35"/>
      <c r="E420" s="146"/>
      <c r="F420" s="146"/>
    </row>
    <row r="421">
      <c r="A421" s="35"/>
      <c r="C421" s="138"/>
      <c r="D421" s="35"/>
      <c r="E421" s="146"/>
      <c r="F421" s="146"/>
    </row>
    <row r="422">
      <c r="A422" s="35"/>
      <c r="C422" s="138"/>
      <c r="D422" s="35"/>
      <c r="E422" s="146"/>
      <c r="F422" s="146"/>
    </row>
    <row r="423">
      <c r="A423" s="35"/>
      <c r="C423" s="138"/>
      <c r="D423" s="35"/>
      <c r="E423" s="146"/>
      <c r="F423" s="146"/>
    </row>
    <row r="424">
      <c r="A424" s="35"/>
      <c r="C424" s="138"/>
      <c r="D424" s="35"/>
      <c r="E424" s="146"/>
      <c r="F424" s="146"/>
    </row>
    <row r="425">
      <c r="A425" s="35"/>
      <c r="C425" s="138"/>
      <c r="D425" s="35"/>
      <c r="E425" s="146"/>
      <c r="F425" s="146"/>
    </row>
    <row r="426">
      <c r="A426" s="35"/>
      <c r="C426" s="138"/>
      <c r="D426" s="35"/>
      <c r="E426" s="146"/>
      <c r="F426" s="146"/>
    </row>
    <row r="427">
      <c r="A427" s="35"/>
      <c r="C427" s="138"/>
      <c r="D427" s="35"/>
      <c r="E427" s="146"/>
      <c r="F427" s="146"/>
    </row>
    <row r="428">
      <c r="A428" s="35"/>
      <c r="C428" s="138"/>
      <c r="D428" s="35"/>
      <c r="E428" s="146"/>
      <c r="F428" s="146"/>
    </row>
    <row r="429">
      <c r="A429" s="35"/>
      <c r="C429" s="138"/>
      <c r="D429" s="35"/>
      <c r="E429" s="146"/>
      <c r="F429" s="146"/>
    </row>
    <row r="430">
      <c r="A430" s="35"/>
      <c r="C430" s="138"/>
      <c r="D430" s="35"/>
      <c r="E430" s="146"/>
      <c r="F430" s="146"/>
    </row>
    <row r="431">
      <c r="A431" s="35"/>
      <c r="C431" s="138"/>
      <c r="D431" s="35"/>
      <c r="E431" s="146"/>
      <c r="F431" s="146"/>
    </row>
    <row r="432">
      <c r="A432" s="35"/>
      <c r="C432" s="138"/>
      <c r="D432" s="35"/>
      <c r="E432" s="146"/>
      <c r="F432" s="146"/>
    </row>
    <row r="433">
      <c r="A433" s="35"/>
      <c r="C433" s="138"/>
      <c r="D433" s="35"/>
      <c r="E433" s="146"/>
      <c r="F433" s="146"/>
    </row>
    <row r="434">
      <c r="A434" s="35"/>
      <c r="C434" s="138"/>
      <c r="D434" s="35"/>
      <c r="E434" s="146"/>
      <c r="F434" s="146"/>
    </row>
    <row r="435">
      <c r="A435" s="35"/>
      <c r="C435" s="138"/>
      <c r="D435" s="35"/>
      <c r="E435" s="146"/>
      <c r="F435" s="146"/>
    </row>
    <row r="436">
      <c r="A436" s="35"/>
      <c r="C436" s="138"/>
      <c r="D436" s="35"/>
      <c r="E436" s="146"/>
      <c r="F436" s="146"/>
    </row>
    <row r="437">
      <c r="A437" s="35"/>
      <c r="C437" s="138"/>
      <c r="D437" s="35"/>
      <c r="E437" s="146"/>
      <c r="F437" s="146"/>
    </row>
    <row r="438">
      <c r="A438" s="35"/>
      <c r="C438" s="138"/>
      <c r="D438" s="35"/>
      <c r="E438" s="146"/>
      <c r="F438" s="146"/>
    </row>
    <row r="439">
      <c r="A439" s="35"/>
      <c r="C439" s="138"/>
      <c r="D439" s="35"/>
      <c r="E439" s="146"/>
      <c r="F439" s="146"/>
    </row>
    <row r="440">
      <c r="A440" s="35"/>
      <c r="C440" s="138"/>
      <c r="D440" s="35"/>
      <c r="E440" s="146"/>
      <c r="F440" s="146"/>
    </row>
    <row r="441">
      <c r="A441" s="35"/>
      <c r="C441" s="138"/>
      <c r="D441" s="35"/>
      <c r="E441" s="146"/>
      <c r="F441" s="146"/>
    </row>
    <row r="442">
      <c r="A442" s="35"/>
      <c r="C442" s="138"/>
      <c r="D442" s="35"/>
      <c r="E442" s="146"/>
      <c r="F442" s="146"/>
    </row>
    <row r="443">
      <c r="A443" s="35"/>
      <c r="C443" s="138"/>
      <c r="D443" s="35"/>
      <c r="E443" s="146"/>
      <c r="F443" s="146"/>
    </row>
    <row r="444">
      <c r="A444" s="35"/>
      <c r="C444" s="138"/>
      <c r="D444" s="35"/>
      <c r="E444" s="146"/>
      <c r="F444" s="146"/>
    </row>
    <row r="445">
      <c r="A445" s="35"/>
      <c r="C445" s="138"/>
      <c r="D445" s="35"/>
      <c r="E445" s="146"/>
      <c r="F445" s="146"/>
    </row>
    <row r="446">
      <c r="A446" s="35"/>
      <c r="C446" s="138"/>
      <c r="D446" s="35"/>
      <c r="E446" s="146"/>
      <c r="F446" s="146"/>
    </row>
    <row r="447">
      <c r="A447" s="35"/>
      <c r="C447" s="138"/>
      <c r="D447" s="35"/>
      <c r="E447" s="146"/>
      <c r="F447" s="146"/>
    </row>
    <row r="448">
      <c r="A448" s="35"/>
      <c r="C448" s="138"/>
      <c r="D448" s="35"/>
      <c r="E448" s="146"/>
      <c r="F448" s="146"/>
    </row>
    <row r="449">
      <c r="A449" s="35"/>
      <c r="C449" s="138"/>
      <c r="D449" s="35"/>
      <c r="E449" s="146"/>
      <c r="F449" s="146"/>
    </row>
    <row r="450">
      <c r="A450" s="35"/>
      <c r="C450" s="138"/>
      <c r="D450" s="35"/>
      <c r="E450" s="146"/>
      <c r="F450" s="146"/>
    </row>
    <row r="451">
      <c r="A451" s="35"/>
      <c r="C451" s="138"/>
      <c r="D451" s="35"/>
      <c r="E451" s="146"/>
      <c r="F451" s="146"/>
    </row>
    <row r="452">
      <c r="A452" s="35"/>
      <c r="C452" s="138"/>
      <c r="D452" s="35"/>
      <c r="E452" s="146"/>
      <c r="F452" s="146"/>
    </row>
    <row r="453">
      <c r="A453" s="35"/>
      <c r="C453" s="138"/>
      <c r="D453" s="35"/>
      <c r="E453" s="146"/>
      <c r="F453" s="146"/>
    </row>
    <row r="454">
      <c r="A454" s="35"/>
      <c r="C454" s="138"/>
      <c r="D454" s="35"/>
      <c r="E454" s="146"/>
      <c r="F454" s="146"/>
    </row>
    <row r="455">
      <c r="A455" s="35"/>
      <c r="C455" s="138"/>
      <c r="D455" s="35"/>
      <c r="E455" s="146"/>
      <c r="F455" s="146"/>
    </row>
    <row r="456">
      <c r="A456" s="35"/>
      <c r="C456" s="138"/>
      <c r="D456" s="35"/>
      <c r="E456" s="146"/>
      <c r="F456" s="146"/>
    </row>
    <row r="457">
      <c r="A457" s="35"/>
      <c r="C457" s="138"/>
      <c r="D457" s="35"/>
      <c r="E457" s="146"/>
      <c r="F457" s="146"/>
    </row>
    <row r="458">
      <c r="A458" s="35"/>
      <c r="C458" s="138"/>
      <c r="D458" s="35"/>
      <c r="E458" s="146"/>
      <c r="F458" s="146"/>
    </row>
    <row r="459">
      <c r="A459" s="35"/>
      <c r="C459" s="138"/>
      <c r="D459" s="35"/>
      <c r="E459" s="146"/>
      <c r="F459" s="146"/>
    </row>
    <row r="460">
      <c r="A460" s="35"/>
      <c r="C460" s="138"/>
      <c r="D460" s="35"/>
      <c r="E460" s="146"/>
      <c r="F460" s="146"/>
    </row>
    <row r="461">
      <c r="A461" s="35"/>
      <c r="C461" s="138"/>
      <c r="D461" s="35"/>
      <c r="E461" s="146"/>
      <c r="F461" s="146"/>
    </row>
    <row r="462">
      <c r="A462" s="35"/>
      <c r="C462" s="138"/>
      <c r="D462" s="35"/>
      <c r="E462" s="146"/>
      <c r="F462" s="146"/>
    </row>
    <row r="463">
      <c r="A463" s="35"/>
      <c r="C463" s="138"/>
      <c r="D463" s="35"/>
      <c r="E463" s="146"/>
      <c r="F463" s="146"/>
    </row>
    <row r="464">
      <c r="A464" s="35"/>
      <c r="C464" s="138"/>
      <c r="D464" s="35"/>
      <c r="E464" s="146"/>
      <c r="F464" s="146"/>
    </row>
    <row r="465">
      <c r="A465" s="35"/>
      <c r="C465" s="138"/>
      <c r="D465" s="35"/>
      <c r="E465" s="146"/>
      <c r="F465" s="146"/>
    </row>
    <row r="466">
      <c r="A466" s="35"/>
      <c r="C466" s="138"/>
      <c r="D466" s="35"/>
      <c r="E466" s="146"/>
      <c r="F466" s="146"/>
    </row>
    <row r="467">
      <c r="A467" s="35"/>
      <c r="C467" s="138"/>
      <c r="D467" s="35"/>
      <c r="E467" s="146"/>
      <c r="F467" s="146"/>
    </row>
    <row r="468">
      <c r="A468" s="35"/>
      <c r="C468" s="138"/>
      <c r="D468" s="35"/>
      <c r="E468" s="146"/>
      <c r="F468" s="146"/>
    </row>
    <row r="469">
      <c r="A469" s="35"/>
      <c r="C469" s="138"/>
      <c r="D469" s="35"/>
      <c r="E469" s="146"/>
      <c r="F469" s="146"/>
    </row>
    <row r="470">
      <c r="A470" s="35"/>
      <c r="C470" s="138"/>
      <c r="D470" s="35"/>
      <c r="E470" s="146"/>
      <c r="F470" s="146"/>
    </row>
    <row r="471">
      <c r="A471" s="35"/>
      <c r="C471" s="138"/>
      <c r="D471" s="35"/>
      <c r="E471" s="146"/>
      <c r="F471" s="146"/>
    </row>
    <row r="472">
      <c r="A472" s="35"/>
      <c r="C472" s="138"/>
      <c r="D472" s="35"/>
      <c r="E472" s="146"/>
      <c r="F472" s="146"/>
    </row>
    <row r="473">
      <c r="A473" s="35"/>
      <c r="C473" s="138"/>
      <c r="D473" s="35"/>
      <c r="E473" s="146"/>
      <c r="F473" s="146"/>
    </row>
    <row r="474">
      <c r="A474" s="35"/>
      <c r="C474" s="138"/>
      <c r="D474" s="35"/>
      <c r="E474" s="146"/>
      <c r="F474" s="146"/>
    </row>
    <row r="475">
      <c r="A475" s="35"/>
      <c r="C475" s="138"/>
      <c r="D475" s="35"/>
      <c r="E475" s="146"/>
      <c r="F475" s="146"/>
    </row>
    <row r="476">
      <c r="A476" s="35"/>
      <c r="C476" s="138"/>
      <c r="D476" s="35"/>
      <c r="E476" s="146"/>
      <c r="F476" s="146"/>
    </row>
    <row r="477">
      <c r="A477" s="35"/>
      <c r="C477" s="138"/>
      <c r="D477" s="35"/>
      <c r="E477" s="146"/>
      <c r="F477" s="146"/>
    </row>
    <row r="478">
      <c r="A478" s="35"/>
      <c r="C478" s="138"/>
      <c r="D478" s="35"/>
      <c r="E478" s="146"/>
      <c r="F478" s="146"/>
    </row>
    <row r="479">
      <c r="A479" s="35"/>
      <c r="C479" s="138"/>
      <c r="D479" s="35"/>
      <c r="E479" s="146"/>
      <c r="F479" s="146"/>
    </row>
    <row r="480">
      <c r="A480" s="35"/>
      <c r="C480" s="138"/>
      <c r="D480" s="35"/>
      <c r="E480" s="146"/>
      <c r="F480" s="146"/>
    </row>
    <row r="481">
      <c r="A481" s="35"/>
      <c r="C481" s="138"/>
      <c r="D481" s="35"/>
      <c r="E481" s="146"/>
      <c r="F481" s="146"/>
    </row>
    <row r="482">
      <c r="A482" s="35"/>
      <c r="C482" s="138"/>
      <c r="D482" s="35"/>
      <c r="E482" s="146"/>
      <c r="F482" s="146"/>
    </row>
    <row r="483">
      <c r="A483" s="35"/>
      <c r="C483" s="138"/>
      <c r="D483" s="35"/>
      <c r="E483" s="146"/>
      <c r="F483" s="146"/>
    </row>
    <row r="484">
      <c r="A484" s="35"/>
      <c r="C484" s="138"/>
      <c r="D484" s="35"/>
      <c r="E484" s="146"/>
      <c r="F484" s="146"/>
    </row>
    <row r="485">
      <c r="A485" s="35"/>
      <c r="C485" s="138"/>
      <c r="D485" s="35"/>
      <c r="E485" s="146"/>
      <c r="F485" s="146"/>
    </row>
    <row r="486">
      <c r="A486" s="35"/>
      <c r="C486" s="138"/>
      <c r="D486" s="35"/>
      <c r="E486" s="146"/>
      <c r="F486" s="146"/>
    </row>
    <row r="487">
      <c r="A487" s="35"/>
      <c r="C487" s="138"/>
      <c r="D487" s="35"/>
      <c r="E487" s="146"/>
      <c r="F487" s="146"/>
    </row>
    <row r="488">
      <c r="A488" s="35"/>
      <c r="C488" s="138"/>
      <c r="D488" s="35"/>
      <c r="E488" s="146"/>
      <c r="F488" s="146"/>
    </row>
    <row r="489">
      <c r="A489" s="35"/>
      <c r="C489" s="138"/>
      <c r="D489" s="35"/>
      <c r="E489" s="146"/>
      <c r="F489" s="146"/>
    </row>
    <row r="490">
      <c r="A490" s="35"/>
      <c r="C490" s="138"/>
      <c r="D490" s="35"/>
      <c r="E490" s="146"/>
      <c r="F490" s="146"/>
    </row>
    <row r="491">
      <c r="A491" s="35"/>
      <c r="C491" s="138"/>
      <c r="D491" s="35"/>
      <c r="E491" s="146"/>
      <c r="F491" s="146"/>
    </row>
    <row r="492">
      <c r="A492" s="35"/>
      <c r="C492" s="138"/>
      <c r="D492" s="35"/>
      <c r="E492" s="146"/>
      <c r="F492" s="146"/>
    </row>
    <row r="493">
      <c r="A493" s="35"/>
      <c r="C493" s="138"/>
      <c r="D493" s="35"/>
      <c r="E493" s="146"/>
      <c r="F493" s="146"/>
    </row>
    <row r="494">
      <c r="A494" s="35"/>
      <c r="C494" s="138"/>
      <c r="D494" s="35"/>
      <c r="E494" s="146"/>
      <c r="F494" s="146"/>
    </row>
    <row r="495">
      <c r="A495" s="35"/>
      <c r="C495" s="138"/>
      <c r="D495" s="35"/>
      <c r="E495" s="146"/>
      <c r="F495" s="146"/>
    </row>
    <row r="496">
      <c r="A496" s="35"/>
      <c r="C496" s="138"/>
      <c r="D496" s="35"/>
      <c r="E496" s="146"/>
      <c r="F496" s="146"/>
    </row>
    <row r="497">
      <c r="A497" s="35"/>
      <c r="C497" s="138"/>
      <c r="D497" s="35"/>
      <c r="E497" s="146"/>
      <c r="F497" s="146"/>
    </row>
    <row r="498">
      <c r="A498" s="35"/>
      <c r="C498" s="138"/>
      <c r="D498" s="35"/>
      <c r="E498" s="146"/>
      <c r="F498" s="146"/>
    </row>
    <row r="499">
      <c r="A499" s="35"/>
      <c r="C499" s="138"/>
      <c r="D499" s="35"/>
      <c r="E499" s="146"/>
      <c r="F499" s="146"/>
    </row>
    <row r="500">
      <c r="A500" s="35"/>
      <c r="C500" s="138"/>
      <c r="D500" s="35"/>
      <c r="E500" s="146"/>
      <c r="F500" s="146"/>
    </row>
    <row r="501">
      <c r="A501" s="35"/>
      <c r="C501" s="138"/>
      <c r="D501" s="35"/>
      <c r="E501" s="146"/>
      <c r="F501" s="146"/>
    </row>
    <row r="502">
      <c r="A502" s="35"/>
      <c r="C502" s="138"/>
      <c r="D502" s="35"/>
      <c r="E502" s="146"/>
      <c r="F502" s="146"/>
    </row>
    <row r="503">
      <c r="A503" s="35"/>
      <c r="C503" s="138"/>
      <c r="D503" s="35"/>
      <c r="E503" s="146"/>
      <c r="F503" s="146"/>
    </row>
    <row r="504">
      <c r="A504" s="35"/>
      <c r="C504" s="138"/>
      <c r="D504" s="35"/>
      <c r="E504" s="146"/>
      <c r="F504" s="146"/>
    </row>
    <row r="505">
      <c r="A505" s="35"/>
      <c r="C505" s="138"/>
      <c r="D505" s="35"/>
      <c r="E505" s="146"/>
      <c r="F505" s="146"/>
    </row>
    <row r="506">
      <c r="A506" s="35"/>
      <c r="C506" s="138"/>
      <c r="D506" s="35"/>
      <c r="E506" s="146"/>
      <c r="F506" s="146"/>
    </row>
    <row r="507">
      <c r="A507" s="35"/>
      <c r="C507" s="138"/>
      <c r="D507" s="35"/>
      <c r="E507" s="146"/>
      <c r="F507" s="146"/>
    </row>
    <row r="508">
      <c r="A508" s="35"/>
      <c r="C508" s="138"/>
      <c r="D508" s="35"/>
      <c r="E508" s="146"/>
      <c r="F508" s="146"/>
    </row>
    <row r="509">
      <c r="A509" s="35"/>
      <c r="C509" s="138"/>
      <c r="D509" s="35"/>
      <c r="E509" s="146"/>
      <c r="F509" s="146"/>
    </row>
    <row r="510">
      <c r="A510" s="35"/>
      <c r="C510" s="138"/>
      <c r="D510" s="35"/>
      <c r="E510" s="146"/>
      <c r="F510" s="146"/>
    </row>
    <row r="511">
      <c r="A511" s="35"/>
      <c r="C511" s="138"/>
      <c r="D511" s="35"/>
      <c r="E511" s="146"/>
      <c r="F511" s="146"/>
    </row>
    <row r="512">
      <c r="A512" s="35"/>
      <c r="C512" s="138"/>
      <c r="D512" s="35"/>
      <c r="E512" s="146"/>
      <c r="F512" s="146"/>
    </row>
    <row r="513">
      <c r="A513" s="35"/>
      <c r="C513" s="138"/>
      <c r="D513" s="35"/>
      <c r="E513" s="146"/>
      <c r="F513" s="146"/>
    </row>
    <row r="514">
      <c r="A514" s="35"/>
      <c r="C514" s="138"/>
      <c r="D514" s="35"/>
      <c r="E514" s="146"/>
      <c r="F514" s="146"/>
    </row>
    <row r="515">
      <c r="A515" s="35"/>
      <c r="C515" s="138"/>
      <c r="D515" s="35"/>
      <c r="E515" s="146"/>
      <c r="F515" s="146"/>
    </row>
    <row r="516">
      <c r="A516" s="35"/>
      <c r="C516" s="138"/>
      <c r="D516" s="35"/>
      <c r="E516" s="146"/>
      <c r="F516" s="146"/>
    </row>
    <row r="517">
      <c r="A517" s="35"/>
      <c r="C517" s="138"/>
      <c r="D517" s="35"/>
      <c r="E517" s="146"/>
      <c r="F517" s="146"/>
    </row>
    <row r="518">
      <c r="A518" s="35"/>
      <c r="C518" s="138"/>
      <c r="D518" s="35"/>
      <c r="E518" s="146"/>
      <c r="F518" s="146"/>
    </row>
    <row r="519">
      <c r="A519" s="35"/>
      <c r="C519" s="138"/>
      <c r="D519" s="35"/>
      <c r="E519" s="146"/>
      <c r="F519" s="146"/>
    </row>
    <row r="520">
      <c r="A520" s="35"/>
      <c r="C520" s="138"/>
      <c r="D520" s="35"/>
      <c r="E520" s="146"/>
      <c r="F520" s="146"/>
    </row>
    <row r="521">
      <c r="A521" s="35"/>
      <c r="C521" s="138"/>
      <c r="D521" s="35"/>
      <c r="E521" s="146"/>
      <c r="F521" s="146"/>
    </row>
    <row r="522">
      <c r="A522" s="35"/>
      <c r="C522" s="138"/>
      <c r="D522" s="35"/>
      <c r="E522" s="146"/>
      <c r="F522" s="146"/>
    </row>
    <row r="523">
      <c r="A523" s="35"/>
      <c r="C523" s="138"/>
      <c r="D523" s="35"/>
      <c r="E523" s="146"/>
      <c r="F523" s="146"/>
    </row>
    <row r="524">
      <c r="A524" s="35"/>
      <c r="C524" s="138"/>
      <c r="D524" s="35"/>
      <c r="E524" s="146"/>
      <c r="F524" s="146"/>
    </row>
    <row r="525">
      <c r="A525" s="35"/>
      <c r="C525" s="138"/>
      <c r="D525" s="35"/>
      <c r="E525" s="146"/>
      <c r="F525" s="146"/>
    </row>
    <row r="526">
      <c r="A526" s="35"/>
      <c r="C526" s="138"/>
      <c r="D526" s="35"/>
      <c r="E526" s="146"/>
      <c r="F526" s="146"/>
    </row>
    <row r="527">
      <c r="A527" s="35"/>
      <c r="C527" s="138"/>
      <c r="D527" s="35"/>
      <c r="E527" s="146"/>
      <c r="F527" s="146"/>
    </row>
    <row r="528">
      <c r="A528" s="35"/>
      <c r="C528" s="138"/>
      <c r="D528" s="35"/>
      <c r="E528" s="146"/>
      <c r="F528" s="146"/>
    </row>
    <row r="529">
      <c r="A529" s="35"/>
      <c r="C529" s="138"/>
      <c r="D529" s="35"/>
      <c r="E529" s="146"/>
      <c r="F529" s="146"/>
    </row>
    <row r="530">
      <c r="A530" s="35"/>
      <c r="C530" s="138"/>
      <c r="D530" s="35"/>
      <c r="E530" s="146"/>
      <c r="F530" s="146"/>
    </row>
    <row r="531">
      <c r="A531" s="35"/>
      <c r="C531" s="138"/>
      <c r="D531" s="35"/>
      <c r="E531" s="146"/>
      <c r="F531" s="146"/>
    </row>
    <row r="532">
      <c r="A532" s="35"/>
      <c r="C532" s="138"/>
      <c r="D532" s="35"/>
      <c r="E532" s="146"/>
      <c r="F532" s="146"/>
    </row>
    <row r="533">
      <c r="A533" s="35"/>
      <c r="C533" s="138"/>
      <c r="D533" s="35"/>
      <c r="E533" s="146"/>
      <c r="F533" s="146"/>
    </row>
    <row r="534">
      <c r="A534" s="35"/>
      <c r="C534" s="138"/>
      <c r="D534" s="35"/>
      <c r="E534" s="146"/>
      <c r="F534" s="146"/>
    </row>
    <row r="535">
      <c r="A535" s="35"/>
      <c r="C535" s="138"/>
      <c r="D535" s="35"/>
      <c r="E535" s="146"/>
      <c r="F535" s="146"/>
    </row>
    <row r="536">
      <c r="A536" s="35"/>
      <c r="C536" s="138"/>
      <c r="D536" s="35"/>
      <c r="E536" s="146"/>
      <c r="F536" s="146"/>
    </row>
    <row r="537">
      <c r="A537" s="35"/>
      <c r="C537" s="138"/>
      <c r="D537" s="35"/>
      <c r="E537" s="146"/>
      <c r="F537" s="146"/>
    </row>
    <row r="538">
      <c r="A538" s="35"/>
      <c r="C538" s="138"/>
      <c r="D538" s="35"/>
      <c r="E538" s="146"/>
      <c r="F538" s="146"/>
    </row>
    <row r="539">
      <c r="A539" s="35"/>
      <c r="C539" s="138"/>
      <c r="D539" s="35"/>
      <c r="E539" s="146"/>
      <c r="F539" s="146"/>
    </row>
    <row r="540">
      <c r="A540" s="35"/>
      <c r="C540" s="138"/>
      <c r="D540" s="35"/>
      <c r="E540" s="146"/>
      <c r="F540" s="146"/>
    </row>
    <row r="541">
      <c r="A541" s="35"/>
      <c r="C541" s="138"/>
      <c r="D541" s="35"/>
      <c r="E541" s="146"/>
      <c r="F541" s="146"/>
    </row>
    <row r="542">
      <c r="A542" s="35"/>
      <c r="C542" s="138"/>
      <c r="D542" s="35"/>
      <c r="E542" s="146"/>
      <c r="F542" s="146"/>
    </row>
    <row r="543">
      <c r="A543" s="35"/>
      <c r="C543" s="138"/>
      <c r="D543" s="35"/>
      <c r="E543" s="146"/>
      <c r="F543" s="146"/>
    </row>
    <row r="544">
      <c r="A544" s="35"/>
      <c r="C544" s="138"/>
      <c r="D544" s="35"/>
      <c r="E544" s="146"/>
      <c r="F544" s="146"/>
    </row>
    <row r="545">
      <c r="A545" s="35"/>
      <c r="C545" s="138"/>
      <c r="D545" s="35"/>
      <c r="E545" s="146"/>
      <c r="F545" s="146"/>
    </row>
    <row r="546">
      <c r="A546" s="35"/>
      <c r="C546" s="138"/>
      <c r="D546" s="35"/>
      <c r="E546" s="146"/>
      <c r="F546" s="146"/>
    </row>
    <row r="547">
      <c r="A547" s="35"/>
      <c r="C547" s="138"/>
      <c r="D547" s="35"/>
      <c r="E547" s="146"/>
      <c r="F547" s="146"/>
    </row>
    <row r="548">
      <c r="A548" s="35"/>
      <c r="C548" s="138"/>
      <c r="D548" s="35"/>
      <c r="E548" s="146"/>
      <c r="F548" s="146"/>
    </row>
    <row r="549">
      <c r="A549" s="35"/>
      <c r="C549" s="138"/>
      <c r="D549" s="35"/>
      <c r="E549" s="146"/>
      <c r="F549" s="146"/>
    </row>
    <row r="550">
      <c r="A550" s="35"/>
      <c r="C550" s="138"/>
      <c r="D550" s="35"/>
      <c r="E550" s="146"/>
      <c r="F550" s="146"/>
    </row>
    <row r="551">
      <c r="A551" s="35"/>
      <c r="C551" s="138"/>
      <c r="D551" s="35"/>
      <c r="E551" s="146"/>
      <c r="F551" s="146"/>
    </row>
    <row r="552">
      <c r="A552" s="35"/>
      <c r="C552" s="138"/>
      <c r="D552" s="35"/>
      <c r="E552" s="146"/>
      <c r="F552" s="146"/>
    </row>
    <row r="553">
      <c r="A553" s="35"/>
      <c r="C553" s="138"/>
      <c r="D553" s="35"/>
      <c r="E553" s="146"/>
      <c r="F553" s="146"/>
    </row>
    <row r="554">
      <c r="A554" s="35"/>
      <c r="C554" s="138"/>
      <c r="D554" s="35"/>
      <c r="E554" s="146"/>
      <c r="F554" s="146"/>
    </row>
    <row r="555">
      <c r="A555" s="35"/>
      <c r="C555" s="138"/>
      <c r="D555" s="35"/>
      <c r="E555" s="146"/>
      <c r="F555" s="146"/>
    </row>
    <row r="556">
      <c r="A556" s="35"/>
      <c r="C556" s="138"/>
      <c r="D556" s="35"/>
      <c r="E556" s="146"/>
      <c r="F556" s="146"/>
    </row>
    <row r="557">
      <c r="A557" s="35"/>
      <c r="C557" s="138"/>
      <c r="D557" s="35"/>
      <c r="E557" s="146"/>
      <c r="F557" s="146"/>
    </row>
    <row r="558">
      <c r="A558" s="35"/>
      <c r="C558" s="138"/>
      <c r="D558" s="35"/>
      <c r="E558" s="146"/>
      <c r="F558" s="146"/>
    </row>
    <row r="559">
      <c r="A559" s="35"/>
      <c r="C559" s="138"/>
      <c r="D559" s="35"/>
      <c r="E559" s="146"/>
      <c r="F559" s="146"/>
    </row>
    <row r="560">
      <c r="A560" s="35"/>
      <c r="C560" s="138"/>
      <c r="D560" s="35"/>
      <c r="E560" s="146"/>
      <c r="F560" s="146"/>
    </row>
    <row r="561">
      <c r="A561" s="35"/>
      <c r="C561" s="138"/>
      <c r="D561" s="35"/>
      <c r="E561" s="146"/>
      <c r="F561" s="146"/>
    </row>
    <row r="562">
      <c r="A562" s="35"/>
      <c r="C562" s="138"/>
      <c r="D562" s="35"/>
      <c r="E562" s="146"/>
      <c r="F562" s="146"/>
    </row>
    <row r="563">
      <c r="A563" s="35"/>
      <c r="C563" s="138"/>
      <c r="D563" s="35"/>
      <c r="E563" s="146"/>
      <c r="F563" s="146"/>
    </row>
    <row r="564">
      <c r="A564" s="35"/>
      <c r="C564" s="138"/>
      <c r="D564" s="35"/>
      <c r="E564" s="146"/>
      <c r="F564" s="146"/>
    </row>
    <row r="565">
      <c r="A565" s="35"/>
      <c r="C565" s="138"/>
      <c r="D565" s="35"/>
      <c r="E565" s="146"/>
      <c r="F565" s="146"/>
    </row>
    <row r="566">
      <c r="A566" s="35"/>
      <c r="C566" s="138"/>
      <c r="D566" s="35"/>
      <c r="E566" s="146"/>
      <c r="F566" s="146"/>
    </row>
    <row r="567">
      <c r="A567" s="35"/>
      <c r="C567" s="138"/>
      <c r="D567" s="35"/>
      <c r="E567" s="146"/>
      <c r="F567" s="146"/>
    </row>
    <row r="568">
      <c r="A568" s="35"/>
      <c r="C568" s="138"/>
      <c r="D568" s="35"/>
      <c r="E568" s="146"/>
      <c r="F568" s="146"/>
    </row>
    <row r="569">
      <c r="A569" s="35"/>
      <c r="C569" s="138"/>
      <c r="D569" s="35"/>
      <c r="E569" s="146"/>
      <c r="F569" s="146"/>
    </row>
    <row r="570">
      <c r="A570" s="35"/>
      <c r="C570" s="138"/>
      <c r="D570" s="35"/>
      <c r="E570" s="146"/>
      <c r="F570" s="146"/>
    </row>
    <row r="571">
      <c r="A571" s="35"/>
      <c r="C571" s="138"/>
      <c r="D571" s="35"/>
      <c r="E571" s="146"/>
      <c r="F571" s="146"/>
    </row>
    <row r="572">
      <c r="A572" s="35"/>
      <c r="C572" s="138"/>
      <c r="D572" s="35"/>
      <c r="E572" s="146"/>
      <c r="F572" s="146"/>
    </row>
    <row r="573">
      <c r="A573" s="35"/>
      <c r="C573" s="138"/>
      <c r="D573" s="35"/>
      <c r="E573" s="146"/>
      <c r="F573" s="146"/>
    </row>
    <row r="574">
      <c r="A574" s="35"/>
      <c r="C574" s="138"/>
      <c r="D574" s="35"/>
      <c r="E574" s="146"/>
      <c r="F574" s="146"/>
    </row>
    <row r="575">
      <c r="A575" s="35"/>
      <c r="C575" s="138"/>
      <c r="D575" s="35"/>
      <c r="E575" s="146"/>
      <c r="F575" s="146"/>
    </row>
    <row r="576">
      <c r="A576" s="35"/>
      <c r="C576" s="138"/>
      <c r="D576" s="35"/>
      <c r="E576" s="146"/>
      <c r="F576" s="146"/>
    </row>
    <row r="577">
      <c r="A577" s="35"/>
      <c r="C577" s="138"/>
      <c r="D577" s="35"/>
      <c r="E577" s="146"/>
      <c r="F577" s="146"/>
    </row>
    <row r="578">
      <c r="A578" s="35"/>
      <c r="C578" s="138"/>
      <c r="D578" s="35"/>
      <c r="E578" s="146"/>
      <c r="F578" s="146"/>
    </row>
    <row r="579">
      <c r="A579" s="35"/>
      <c r="C579" s="138"/>
      <c r="D579" s="35"/>
      <c r="E579" s="146"/>
      <c r="F579" s="146"/>
    </row>
    <row r="580">
      <c r="A580" s="35"/>
      <c r="C580" s="138"/>
      <c r="D580" s="35"/>
      <c r="E580" s="146"/>
      <c r="F580" s="146"/>
    </row>
    <row r="581">
      <c r="A581" s="35"/>
      <c r="C581" s="138"/>
      <c r="D581" s="35"/>
      <c r="E581" s="146"/>
      <c r="F581" s="146"/>
    </row>
    <row r="582">
      <c r="A582" s="35"/>
      <c r="C582" s="138"/>
      <c r="D582" s="35"/>
      <c r="E582" s="146"/>
      <c r="F582" s="146"/>
    </row>
    <row r="583">
      <c r="A583" s="35"/>
      <c r="C583" s="138"/>
      <c r="D583" s="35"/>
      <c r="E583" s="146"/>
      <c r="F583" s="146"/>
    </row>
    <row r="584">
      <c r="A584" s="35"/>
      <c r="C584" s="138"/>
      <c r="D584" s="35"/>
      <c r="E584" s="146"/>
      <c r="F584" s="146"/>
    </row>
    <row r="585">
      <c r="A585" s="35"/>
      <c r="C585" s="138"/>
      <c r="D585" s="35"/>
      <c r="E585" s="146"/>
      <c r="F585" s="146"/>
    </row>
    <row r="586">
      <c r="A586" s="35"/>
      <c r="C586" s="138"/>
      <c r="D586" s="35"/>
      <c r="E586" s="146"/>
      <c r="F586" s="146"/>
    </row>
    <row r="587">
      <c r="A587" s="35"/>
      <c r="C587" s="138"/>
      <c r="D587" s="35"/>
      <c r="E587" s="146"/>
      <c r="F587" s="146"/>
    </row>
    <row r="588">
      <c r="A588" s="35"/>
      <c r="C588" s="138"/>
      <c r="D588" s="35"/>
      <c r="E588" s="146"/>
      <c r="F588" s="146"/>
    </row>
    <row r="589">
      <c r="A589" s="35"/>
      <c r="C589" s="138"/>
      <c r="D589" s="35"/>
      <c r="E589" s="146"/>
      <c r="F589" s="146"/>
    </row>
    <row r="590">
      <c r="A590" s="35"/>
      <c r="C590" s="138"/>
      <c r="D590" s="35"/>
      <c r="E590" s="146"/>
      <c r="F590" s="146"/>
    </row>
    <row r="591">
      <c r="A591" s="35"/>
      <c r="C591" s="138"/>
      <c r="D591" s="35"/>
      <c r="E591" s="146"/>
      <c r="F591" s="146"/>
    </row>
    <row r="592">
      <c r="A592" s="35"/>
      <c r="C592" s="138"/>
      <c r="D592" s="35"/>
      <c r="E592" s="146"/>
      <c r="F592" s="146"/>
    </row>
    <row r="593">
      <c r="A593" s="35"/>
      <c r="C593" s="138"/>
      <c r="D593" s="35"/>
      <c r="E593" s="146"/>
      <c r="F593" s="146"/>
    </row>
    <row r="594">
      <c r="A594" s="35"/>
      <c r="C594" s="138"/>
      <c r="D594" s="35"/>
      <c r="E594" s="146"/>
      <c r="F594" s="146"/>
    </row>
    <row r="595">
      <c r="A595" s="35"/>
      <c r="C595" s="138"/>
      <c r="D595" s="35"/>
      <c r="E595" s="146"/>
      <c r="F595" s="146"/>
    </row>
    <row r="596">
      <c r="A596" s="35"/>
      <c r="C596" s="138"/>
      <c r="D596" s="35"/>
      <c r="E596" s="146"/>
      <c r="F596" s="146"/>
    </row>
    <row r="597">
      <c r="A597" s="35"/>
      <c r="C597" s="138"/>
      <c r="D597" s="35"/>
      <c r="E597" s="146"/>
      <c r="F597" s="146"/>
    </row>
    <row r="598">
      <c r="A598" s="35"/>
      <c r="C598" s="138"/>
      <c r="D598" s="35"/>
      <c r="E598" s="146"/>
      <c r="F598" s="146"/>
    </row>
    <row r="599">
      <c r="A599" s="35"/>
      <c r="C599" s="138"/>
      <c r="D599" s="35"/>
      <c r="E599" s="146"/>
      <c r="F599" s="146"/>
    </row>
    <row r="600">
      <c r="A600" s="35"/>
      <c r="C600" s="138"/>
      <c r="D600" s="35"/>
      <c r="E600" s="146"/>
      <c r="F600" s="146"/>
    </row>
    <row r="601">
      <c r="A601" s="35"/>
      <c r="C601" s="138"/>
      <c r="D601" s="35"/>
      <c r="E601" s="146"/>
      <c r="F601" s="146"/>
    </row>
    <row r="602">
      <c r="A602" s="35"/>
      <c r="C602" s="138"/>
      <c r="D602" s="35"/>
      <c r="E602" s="146"/>
      <c r="F602" s="146"/>
    </row>
    <row r="603">
      <c r="A603" s="35"/>
      <c r="C603" s="138"/>
      <c r="D603" s="35"/>
      <c r="E603" s="146"/>
      <c r="F603" s="146"/>
    </row>
    <row r="604">
      <c r="A604" s="35"/>
      <c r="C604" s="138"/>
      <c r="D604" s="35"/>
      <c r="E604" s="146"/>
      <c r="F604" s="146"/>
    </row>
    <row r="605">
      <c r="A605" s="35"/>
      <c r="C605" s="138"/>
      <c r="D605" s="35"/>
      <c r="E605" s="146"/>
      <c r="F605" s="146"/>
    </row>
    <row r="606">
      <c r="A606" s="35"/>
      <c r="C606" s="138"/>
      <c r="D606" s="35"/>
      <c r="E606" s="146"/>
      <c r="F606" s="146"/>
    </row>
    <row r="607">
      <c r="A607" s="35"/>
      <c r="C607" s="138"/>
      <c r="D607" s="35"/>
      <c r="E607" s="146"/>
      <c r="F607" s="146"/>
    </row>
    <row r="608">
      <c r="A608" s="35"/>
      <c r="C608" s="138"/>
      <c r="D608" s="35"/>
      <c r="E608" s="146"/>
      <c r="F608" s="146"/>
    </row>
    <row r="609">
      <c r="A609" s="35"/>
      <c r="C609" s="138"/>
      <c r="D609" s="35"/>
      <c r="E609" s="146"/>
      <c r="F609" s="146"/>
    </row>
    <row r="610">
      <c r="A610" s="35"/>
      <c r="C610" s="138"/>
      <c r="D610" s="35"/>
      <c r="E610" s="146"/>
      <c r="F610" s="146"/>
    </row>
    <row r="611">
      <c r="A611" s="35"/>
      <c r="C611" s="138"/>
      <c r="D611" s="35"/>
      <c r="E611" s="146"/>
      <c r="F611" s="146"/>
    </row>
    <row r="612">
      <c r="A612" s="35"/>
      <c r="C612" s="138"/>
      <c r="D612" s="35"/>
      <c r="E612" s="146"/>
      <c r="F612" s="146"/>
    </row>
    <row r="613">
      <c r="A613" s="35"/>
      <c r="C613" s="138"/>
      <c r="D613" s="35"/>
      <c r="E613" s="146"/>
      <c r="F613" s="146"/>
    </row>
    <row r="614">
      <c r="A614" s="35"/>
      <c r="C614" s="138"/>
      <c r="D614" s="35"/>
      <c r="E614" s="146"/>
      <c r="F614" s="146"/>
    </row>
    <row r="615">
      <c r="A615" s="35"/>
      <c r="C615" s="138"/>
      <c r="D615" s="35"/>
      <c r="E615" s="146"/>
      <c r="F615" s="146"/>
    </row>
    <row r="616">
      <c r="A616" s="35"/>
      <c r="C616" s="138"/>
      <c r="D616" s="35"/>
      <c r="E616" s="146"/>
      <c r="F616" s="146"/>
    </row>
    <row r="617">
      <c r="A617" s="35"/>
      <c r="C617" s="138"/>
      <c r="D617" s="35"/>
      <c r="E617" s="146"/>
      <c r="F617" s="146"/>
    </row>
    <row r="618">
      <c r="A618" s="35"/>
      <c r="C618" s="138"/>
      <c r="D618" s="35"/>
      <c r="E618" s="146"/>
      <c r="F618" s="146"/>
    </row>
    <row r="619">
      <c r="A619" s="35"/>
      <c r="C619" s="138"/>
      <c r="D619" s="35"/>
      <c r="E619" s="146"/>
      <c r="F619" s="146"/>
    </row>
    <row r="620">
      <c r="A620" s="35"/>
      <c r="C620" s="138"/>
      <c r="D620" s="35"/>
      <c r="E620" s="146"/>
      <c r="F620" s="146"/>
    </row>
    <row r="621">
      <c r="A621" s="35"/>
      <c r="C621" s="138"/>
      <c r="D621" s="35"/>
      <c r="E621" s="146"/>
      <c r="F621" s="146"/>
    </row>
    <row r="622">
      <c r="A622" s="35"/>
      <c r="C622" s="138"/>
      <c r="D622" s="35"/>
      <c r="E622" s="146"/>
      <c r="F622" s="146"/>
    </row>
    <row r="623">
      <c r="A623" s="35"/>
      <c r="C623" s="138"/>
      <c r="D623" s="35"/>
      <c r="E623" s="146"/>
      <c r="F623" s="146"/>
    </row>
    <row r="624">
      <c r="A624" s="35"/>
      <c r="C624" s="138"/>
      <c r="D624" s="35"/>
      <c r="E624" s="146"/>
      <c r="F624" s="146"/>
    </row>
    <row r="625">
      <c r="A625" s="35"/>
      <c r="C625" s="138"/>
      <c r="D625" s="35"/>
      <c r="E625" s="146"/>
      <c r="F625" s="146"/>
    </row>
    <row r="626">
      <c r="A626" s="35"/>
      <c r="C626" s="138"/>
      <c r="D626" s="35"/>
      <c r="E626" s="146"/>
      <c r="F626" s="146"/>
    </row>
    <row r="627">
      <c r="A627" s="35"/>
      <c r="C627" s="138"/>
      <c r="D627" s="35"/>
      <c r="E627" s="146"/>
      <c r="F627" s="146"/>
    </row>
    <row r="628">
      <c r="A628" s="35"/>
      <c r="C628" s="138"/>
      <c r="D628" s="35"/>
      <c r="E628" s="146"/>
      <c r="F628" s="146"/>
    </row>
    <row r="629">
      <c r="A629" s="35"/>
      <c r="C629" s="138"/>
      <c r="D629" s="35"/>
      <c r="E629" s="146"/>
      <c r="F629" s="146"/>
    </row>
    <row r="630">
      <c r="A630" s="35"/>
      <c r="C630" s="138"/>
      <c r="D630" s="35"/>
      <c r="E630" s="146"/>
      <c r="F630" s="146"/>
    </row>
    <row r="631">
      <c r="A631" s="35"/>
      <c r="C631" s="138"/>
      <c r="D631" s="35"/>
      <c r="E631" s="146"/>
      <c r="F631" s="146"/>
    </row>
    <row r="632">
      <c r="A632" s="35"/>
      <c r="C632" s="138"/>
      <c r="D632" s="35"/>
      <c r="E632" s="146"/>
      <c r="F632" s="146"/>
    </row>
    <row r="633">
      <c r="A633" s="35"/>
      <c r="C633" s="138"/>
      <c r="D633" s="35"/>
      <c r="E633" s="146"/>
      <c r="F633" s="146"/>
    </row>
    <row r="634">
      <c r="A634" s="35"/>
      <c r="C634" s="138"/>
      <c r="D634" s="35"/>
      <c r="E634" s="146"/>
      <c r="F634" s="146"/>
    </row>
    <row r="635">
      <c r="A635" s="35"/>
      <c r="C635" s="138"/>
      <c r="D635" s="35"/>
      <c r="E635" s="146"/>
      <c r="F635" s="146"/>
    </row>
    <row r="636">
      <c r="A636" s="35"/>
      <c r="C636" s="138"/>
      <c r="D636" s="35"/>
      <c r="E636" s="146"/>
      <c r="F636" s="146"/>
    </row>
    <row r="637">
      <c r="A637" s="35"/>
      <c r="C637" s="138"/>
      <c r="D637" s="35"/>
      <c r="E637" s="146"/>
      <c r="F637" s="146"/>
    </row>
    <row r="638">
      <c r="A638" s="35"/>
      <c r="C638" s="138"/>
      <c r="D638" s="35"/>
      <c r="E638" s="146"/>
      <c r="F638" s="146"/>
    </row>
    <row r="639">
      <c r="A639" s="35"/>
      <c r="C639" s="138"/>
      <c r="D639" s="35"/>
      <c r="E639" s="146"/>
      <c r="F639" s="146"/>
    </row>
    <row r="640">
      <c r="A640" s="35"/>
      <c r="C640" s="138"/>
      <c r="D640" s="35"/>
      <c r="E640" s="146"/>
      <c r="F640" s="146"/>
    </row>
    <row r="641">
      <c r="A641" s="35"/>
      <c r="C641" s="138"/>
      <c r="D641" s="35"/>
      <c r="E641" s="146"/>
      <c r="F641" s="146"/>
    </row>
    <row r="642">
      <c r="A642" s="35"/>
      <c r="C642" s="138"/>
      <c r="D642" s="35"/>
      <c r="E642" s="146"/>
      <c r="F642" s="146"/>
    </row>
    <row r="643">
      <c r="A643" s="35"/>
      <c r="C643" s="138"/>
      <c r="D643" s="35"/>
      <c r="E643" s="146"/>
      <c r="F643" s="146"/>
    </row>
    <row r="644">
      <c r="A644" s="35"/>
      <c r="C644" s="138"/>
      <c r="D644" s="35"/>
      <c r="E644" s="146"/>
      <c r="F644" s="146"/>
    </row>
    <row r="645">
      <c r="A645" s="35"/>
      <c r="C645" s="138"/>
      <c r="D645" s="35"/>
      <c r="E645" s="146"/>
      <c r="F645" s="146"/>
    </row>
    <row r="646">
      <c r="A646" s="35"/>
      <c r="C646" s="138"/>
      <c r="D646" s="35"/>
      <c r="E646" s="146"/>
      <c r="F646" s="146"/>
    </row>
    <row r="647">
      <c r="A647" s="35"/>
      <c r="C647" s="138"/>
      <c r="D647" s="35"/>
      <c r="E647" s="146"/>
      <c r="F647" s="146"/>
    </row>
    <row r="648">
      <c r="A648" s="35"/>
      <c r="C648" s="138"/>
      <c r="D648" s="35"/>
      <c r="E648" s="146"/>
      <c r="F648" s="146"/>
    </row>
    <row r="649">
      <c r="A649" s="35"/>
      <c r="C649" s="138"/>
      <c r="D649" s="35"/>
      <c r="E649" s="146"/>
      <c r="F649" s="146"/>
    </row>
    <row r="650">
      <c r="A650" s="35"/>
      <c r="C650" s="138"/>
      <c r="D650" s="35"/>
      <c r="E650" s="146"/>
      <c r="F650" s="146"/>
    </row>
    <row r="651">
      <c r="A651" s="35"/>
      <c r="C651" s="138"/>
      <c r="D651" s="35"/>
      <c r="E651" s="146"/>
      <c r="F651" s="146"/>
    </row>
    <row r="652">
      <c r="A652" s="35"/>
      <c r="C652" s="138"/>
      <c r="D652" s="35"/>
      <c r="E652" s="146"/>
      <c r="F652" s="146"/>
    </row>
    <row r="653">
      <c r="A653" s="35"/>
      <c r="C653" s="138"/>
      <c r="D653" s="35"/>
      <c r="E653" s="146"/>
      <c r="F653" s="146"/>
    </row>
    <row r="654">
      <c r="A654" s="35"/>
      <c r="C654" s="138"/>
      <c r="D654" s="35"/>
      <c r="E654" s="146"/>
      <c r="F654" s="146"/>
    </row>
    <row r="655">
      <c r="A655" s="35"/>
      <c r="C655" s="138"/>
      <c r="D655" s="35"/>
      <c r="E655" s="146"/>
      <c r="F655" s="146"/>
    </row>
    <row r="656">
      <c r="A656" s="35"/>
      <c r="C656" s="138"/>
      <c r="D656" s="35"/>
      <c r="E656" s="146"/>
      <c r="F656" s="146"/>
    </row>
    <row r="657">
      <c r="A657" s="35"/>
      <c r="C657" s="138"/>
      <c r="D657" s="35"/>
      <c r="E657" s="146"/>
      <c r="F657" s="146"/>
    </row>
    <row r="658">
      <c r="A658" s="35"/>
      <c r="C658" s="138"/>
      <c r="D658" s="35"/>
      <c r="E658" s="146"/>
      <c r="F658" s="146"/>
    </row>
    <row r="659">
      <c r="A659" s="35"/>
      <c r="C659" s="138"/>
      <c r="D659" s="35"/>
      <c r="E659" s="146"/>
      <c r="F659" s="146"/>
    </row>
    <row r="660">
      <c r="A660" s="35"/>
      <c r="C660" s="138"/>
      <c r="D660" s="35"/>
      <c r="E660" s="146"/>
      <c r="F660" s="146"/>
    </row>
    <row r="661">
      <c r="A661" s="35"/>
      <c r="C661" s="138"/>
      <c r="D661" s="35"/>
      <c r="E661" s="146"/>
      <c r="F661" s="146"/>
    </row>
    <row r="662">
      <c r="A662" s="35"/>
      <c r="C662" s="138"/>
      <c r="D662" s="35"/>
      <c r="E662" s="146"/>
      <c r="F662" s="146"/>
    </row>
    <row r="663">
      <c r="A663" s="35"/>
      <c r="C663" s="138"/>
      <c r="D663" s="35"/>
      <c r="E663" s="146"/>
      <c r="F663" s="146"/>
    </row>
    <row r="664">
      <c r="A664" s="35"/>
      <c r="C664" s="138"/>
      <c r="D664" s="35"/>
      <c r="E664" s="146"/>
      <c r="F664" s="146"/>
    </row>
    <row r="665">
      <c r="A665" s="35"/>
      <c r="C665" s="138"/>
      <c r="D665" s="35"/>
      <c r="E665" s="146"/>
      <c r="F665" s="146"/>
    </row>
    <row r="666">
      <c r="A666" s="35"/>
      <c r="C666" s="138"/>
      <c r="D666" s="35"/>
      <c r="E666" s="146"/>
      <c r="F666" s="146"/>
    </row>
    <row r="667">
      <c r="A667" s="35"/>
      <c r="C667" s="138"/>
      <c r="D667" s="35"/>
      <c r="E667" s="146"/>
      <c r="F667" s="146"/>
    </row>
    <row r="668">
      <c r="A668" s="35"/>
      <c r="C668" s="138"/>
      <c r="D668" s="35"/>
      <c r="E668" s="146"/>
      <c r="F668" s="146"/>
    </row>
    <row r="669">
      <c r="A669" s="35"/>
      <c r="C669" s="138"/>
      <c r="D669" s="35"/>
      <c r="E669" s="146"/>
      <c r="F669" s="146"/>
    </row>
    <row r="670">
      <c r="A670" s="35"/>
      <c r="C670" s="138"/>
      <c r="D670" s="35"/>
      <c r="E670" s="146"/>
      <c r="F670" s="146"/>
    </row>
    <row r="671">
      <c r="A671" s="35"/>
      <c r="C671" s="138"/>
      <c r="D671" s="35"/>
      <c r="E671" s="146"/>
      <c r="F671" s="146"/>
    </row>
    <row r="672">
      <c r="A672" s="35"/>
      <c r="C672" s="138"/>
      <c r="D672" s="35"/>
      <c r="E672" s="146"/>
      <c r="F672" s="146"/>
    </row>
    <row r="673">
      <c r="A673" s="35"/>
      <c r="C673" s="138"/>
      <c r="D673" s="35"/>
      <c r="E673" s="146"/>
      <c r="F673" s="146"/>
    </row>
    <row r="674">
      <c r="A674" s="35"/>
      <c r="C674" s="138"/>
      <c r="D674" s="35"/>
      <c r="E674" s="146"/>
      <c r="F674" s="146"/>
    </row>
    <row r="675">
      <c r="A675" s="35"/>
      <c r="C675" s="138"/>
      <c r="D675" s="35"/>
      <c r="E675" s="146"/>
      <c r="F675" s="146"/>
    </row>
    <row r="676">
      <c r="A676" s="35"/>
      <c r="C676" s="138"/>
      <c r="D676" s="35"/>
      <c r="E676" s="146"/>
      <c r="F676" s="146"/>
    </row>
    <row r="677">
      <c r="A677" s="35"/>
      <c r="C677" s="138"/>
      <c r="D677" s="35"/>
      <c r="E677" s="146"/>
      <c r="F677" s="146"/>
    </row>
    <row r="678">
      <c r="A678" s="35"/>
      <c r="C678" s="138"/>
      <c r="D678" s="35"/>
      <c r="E678" s="146"/>
      <c r="F678" s="146"/>
    </row>
    <row r="679">
      <c r="A679" s="35"/>
      <c r="C679" s="138"/>
      <c r="D679" s="35"/>
      <c r="E679" s="146"/>
      <c r="F679" s="146"/>
    </row>
    <row r="680">
      <c r="A680" s="35"/>
      <c r="C680" s="138"/>
      <c r="D680" s="35"/>
      <c r="E680" s="146"/>
      <c r="F680" s="146"/>
    </row>
    <row r="681">
      <c r="A681" s="35"/>
      <c r="C681" s="138"/>
      <c r="D681" s="35"/>
      <c r="E681" s="146"/>
      <c r="F681" s="146"/>
    </row>
    <row r="682">
      <c r="A682" s="35"/>
      <c r="C682" s="138"/>
      <c r="D682" s="35"/>
      <c r="E682" s="146"/>
      <c r="F682" s="146"/>
    </row>
    <row r="683">
      <c r="A683" s="35"/>
      <c r="C683" s="138"/>
      <c r="D683" s="35"/>
      <c r="E683" s="146"/>
      <c r="F683" s="146"/>
    </row>
    <row r="684">
      <c r="A684" s="35"/>
      <c r="C684" s="138"/>
      <c r="D684" s="35"/>
      <c r="E684" s="146"/>
      <c r="F684" s="146"/>
    </row>
    <row r="685">
      <c r="A685" s="35"/>
      <c r="C685" s="138"/>
      <c r="D685" s="35"/>
      <c r="E685" s="146"/>
      <c r="F685" s="146"/>
    </row>
    <row r="686">
      <c r="A686" s="35"/>
      <c r="C686" s="138"/>
      <c r="D686" s="35"/>
      <c r="E686" s="146"/>
      <c r="F686" s="146"/>
    </row>
    <row r="687">
      <c r="A687" s="35"/>
      <c r="C687" s="138"/>
      <c r="D687" s="35"/>
      <c r="E687" s="146"/>
      <c r="F687" s="146"/>
    </row>
    <row r="688">
      <c r="A688" s="35"/>
      <c r="C688" s="138"/>
      <c r="D688" s="35"/>
      <c r="E688" s="146"/>
      <c r="F688" s="146"/>
    </row>
    <row r="689">
      <c r="A689" s="35"/>
      <c r="C689" s="138"/>
      <c r="D689" s="35"/>
      <c r="E689" s="146"/>
      <c r="F689" s="146"/>
    </row>
    <row r="690">
      <c r="A690" s="35"/>
      <c r="C690" s="138"/>
      <c r="D690" s="35"/>
      <c r="E690" s="146"/>
      <c r="F690" s="146"/>
    </row>
    <row r="691">
      <c r="A691" s="35"/>
      <c r="C691" s="138"/>
      <c r="D691" s="35"/>
      <c r="E691" s="146"/>
      <c r="F691" s="146"/>
    </row>
    <row r="692">
      <c r="A692" s="35"/>
      <c r="C692" s="138"/>
      <c r="D692" s="35"/>
      <c r="E692" s="146"/>
      <c r="F692" s="146"/>
    </row>
    <row r="693">
      <c r="A693" s="35"/>
      <c r="C693" s="138"/>
      <c r="D693" s="35"/>
      <c r="E693" s="146"/>
      <c r="F693" s="146"/>
    </row>
    <row r="694">
      <c r="A694" s="35"/>
      <c r="C694" s="138"/>
      <c r="D694" s="35"/>
      <c r="E694" s="146"/>
      <c r="F694" s="146"/>
    </row>
    <row r="695">
      <c r="A695" s="35"/>
      <c r="C695" s="138"/>
      <c r="D695" s="35"/>
      <c r="E695" s="146"/>
      <c r="F695" s="146"/>
    </row>
    <row r="696">
      <c r="A696" s="35"/>
      <c r="C696" s="138"/>
      <c r="D696" s="35"/>
      <c r="E696" s="146"/>
      <c r="F696" s="146"/>
    </row>
    <row r="697">
      <c r="A697" s="35"/>
      <c r="C697" s="138"/>
      <c r="D697" s="35"/>
      <c r="E697" s="146"/>
      <c r="F697" s="146"/>
    </row>
    <row r="698">
      <c r="A698" s="35"/>
      <c r="C698" s="138"/>
      <c r="D698" s="35"/>
      <c r="E698" s="146"/>
      <c r="F698" s="146"/>
    </row>
    <row r="699">
      <c r="A699" s="35"/>
      <c r="C699" s="138"/>
      <c r="D699" s="35"/>
      <c r="E699" s="146"/>
      <c r="F699" s="146"/>
    </row>
    <row r="700">
      <c r="A700" s="35"/>
      <c r="C700" s="138"/>
      <c r="D700" s="35"/>
      <c r="E700" s="146"/>
      <c r="F700" s="146"/>
    </row>
    <row r="701">
      <c r="A701" s="35"/>
      <c r="C701" s="138"/>
      <c r="D701" s="35"/>
      <c r="E701" s="146"/>
      <c r="F701" s="146"/>
    </row>
    <row r="702">
      <c r="A702" s="35"/>
      <c r="C702" s="138"/>
      <c r="D702" s="35"/>
      <c r="E702" s="146"/>
      <c r="F702" s="146"/>
    </row>
    <row r="703">
      <c r="A703" s="35"/>
      <c r="C703" s="138"/>
      <c r="D703" s="35"/>
      <c r="E703" s="146"/>
      <c r="F703" s="146"/>
    </row>
    <row r="704">
      <c r="A704" s="35"/>
      <c r="C704" s="138"/>
      <c r="D704" s="35"/>
      <c r="E704" s="146"/>
      <c r="F704" s="146"/>
    </row>
    <row r="705">
      <c r="A705" s="35"/>
      <c r="C705" s="138"/>
      <c r="D705" s="35"/>
      <c r="E705" s="146"/>
      <c r="F705" s="146"/>
    </row>
    <row r="706">
      <c r="A706" s="35"/>
      <c r="C706" s="138"/>
      <c r="D706" s="35"/>
      <c r="E706" s="146"/>
      <c r="F706" s="146"/>
    </row>
    <row r="707">
      <c r="A707" s="35"/>
      <c r="C707" s="138"/>
      <c r="D707" s="35"/>
      <c r="E707" s="146"/>
      <c r="F707" s="146"/>
    </row>
    <row r="708">
      <c r="A708" s="35"/>
      <c r="C708" s="138"/>
      <c r="D708" s="35"/>
      <c r="E708" s="146"/>
      <c r="F708" s="146"/>
    </row>
    <row r="709">
      <c r="A709" s="35"/>
      <c r="C709" s="138"/>
      <c r="D709" s="35"/>
      <c r="E709" s="146"/>
      <c r="F709" s="146"/>
    </row>
    <row r="710">
      <c r="A710" s="35"/>
      <c r="C710" s="138"/>
      <c r="D710" s="35"/>
      <c r="E710" s="146"/>
      <c r="F710" s="146"/>
    </row>
    <row r="711">
      <c r="A711" s="35"/>
      <c r="C711" s="138"/>
      <c r="D711" s="35"/>
      <c r="E711" s="146"/>
      <c r="F711" s="146"/>
    </row>
    <row r="712">
      <c r="A712" s="35"/>
      <c r="C712" s="138"/>
      <c r="D712" s="35"/>
      <c r="E712" s="146"/>
      <c r="F712" s="146"/>
    </row>
    <row r="713">
      <c r="A713" s="35"/>
      <c r="C713" s="138"/>
      <c r="D713" s="35"/>
      <c r="E713" s="146"/>
      <c r="F713" s="146"/>
    </row>
    <row r="714">
      <c r="A714" s="35"/>
      <c r="C714" s="138"/>
      <c r="D714" s="35"/>
      <c r="E714" s="146"/>
      <c r="F714" s="146"/>
    </row>
    <row r="715">
      <c r="A715" s="35"/>
      <c r="C715" s="138"/>
      <c r="D715" s="35"/>
      <c r="E715" s="146"/>
      <c r="F715" s="146"/>
    </row>
    <row r="716">
      <c r="A716" s="35"/>
      <c r="C716" s="138"/>
      <c r="D716" s="35"/>
      <c r="E716" s="146"/>
      <c r="F716" s="146"/>
    </row>
    <row r="717">
      <c r="A717" s="35"/>
      <c r="C717" s="138"/>
      <c r="D717" s="35"/>
      <c r="E717" s="146"/>
      <c r="F717" s="146"/>
    </row>
    <row r="718">
      <c r="A718" s="35"/>
      <c r="C718" s="138"/>
      <c r="D718" s="35"/>
      <c r="E718" s="146"/>
      <c r="F718" s="146"/>
    </row>
    <row r="719">
      <c r="A719" s="35"/>
      <c r="C719" s="138"/>
      <c r="D719" s="35"/>
      <c r="E719" s="146"/>
      <c r="F719" s="146"/>
    </row>
    <row r="720">
      <c r="A720" s="35"/>
      <c r="C720" s="138"/>
      <c r="D720" s="35"/>
      <c r="E720" s="146"/>
      <c r="F720" s="146"/>
    </row>
    <row r="721">
      <c r="A721" s="35"/>
      <c r="C721" s="138"/>
      <c r="D721" s="35"/>
      <c r="E721" s="146"/>
      <c r="F721" s="146"/>
    </row>
    <row r="722">
      <c r="A722" s="35"/>
      <c r="C722" s="138"/>
      <c r="D722" s="35"/>
      <c r="E722" s="146"/>
      <c r="F722" s="146"/>
    </row>
    <row r="723">
      <c r="A723" s="35"/>
      <c r="C723" s="138"/>
      <c r="D723" s="35"/>
      <c r="E723" s="146"/>
      <c r="F723" s="146"/>
    </row>
    <row r="724">
      <c r="A724" s="35"/>
      <c r="C724" s="138"/>
      <c r="D724" s="35"/>
      <c r="E724" s="146"/>
      <c r="F724" s="146"/>
    </row>
    <row r="725">
      <c r="A725" s="35"/>
      <c r="C725" s="138"/>
      <c r="D725" s="35"/>
      <c r="E725" s="146"/>
      <c r="F725" s="146"/>
    </row>
    <row r="726">
      <c r="A726" s="35"/>
      <c r="C726" s="138"/>
      <c r="D726" s="35"/>
      <c r="E726" s="146"/>
      <c r="F726" s="146"/>
    </row>
    <row r="727">
      <c r="A727" s="35"/>
      <c r="C727" s="138"/>
      <c r="D727" s="35"/>
      <c r="E727" s="146"/>
      <c r="F727" s="146"/>
    </row>
    <row r="728">
      <c r="A728" s="35"/>
      <c r="C728" s="138"/>
      <c r="D728" s="35"/>
      <c r="E728" s="146"/>
      <c r="F728" s="146"/>
    </row>
    <row r="729">
      <c r="A729" s="35"/>
      <c r="C729" s="138"/>
      <c r="D729" s="35"/>
      <c r="E729" s="146"/>
      <c r="F729" s="146"/>
    </row>
    <row r="730">
      <c r="A730" s="35"/>
      <c r="C730" s="138"/>
      <c r="D730" s="35"/>
      <c r="E730" s="146"/>
      <c r="F730" s="146"/>
    </row>
    <row r="731">
      <c r="A731" s="35"/>
      <c r="C731" s="138"/>
      <c r="D731" s="35"/>
      <c r="E731" s="146"/>
      <c r="F731" s="146"/>
    </row>
    <row r="732">
      <c r="A732" s="35"/>
      <c r="C732" s="138"/>
      <c r="D732" s="35"/>
      <c r="E732" s="146"/>
      <c r="F732" s="146"/>
    </row>
    <row r="733">
      <c r="A733" s="35"/>
      <c r="C733" s="138"/>
      <c r="D733" s="35"/>
      <c r="E733" s="146"/>
      <c r="F733" s="146"/>
    </row>
    <row r="734">
      <c r="A734" s="35"/>
      <c r="C734" s="138"/>
      <c r="D734" s="35"/>
      <c r="E734" s="146"/>
      <c r="F734" s="146"/>
    </row>
    <row r="735">
      <c r="A735" s="35"/>
      <c r="C735" s="138"/>
      <c r="D735" s="35"/>
      <c r="E735" s="146"/>
      <c r="F735" s="146"/>
    </row>
    <row r="736">
      <c r="A736" s="35"/>
      <c r="C736" s="138"/>
      <c r="D736" s="35"/>
      <c r="E736" s="146"/>
      <c r="F736" s="146"/>
    </row>
    <row r="737">
      <c r="A737" s="35"/>
      <c r="C737" s="138"/>
      <c r="D737" s="35"/>
      <c r="E737" s="146"/>
      <c r="F737" s="146"/>
    </row>
    <row r="738">
      <c r="A738" s="35"/>
      <c r="C738" s="138"/>
      <c r="D738" s="35"/>
      <c r="E738" s="146"/>
      <c r="F738" s="146"/>
    </row>
    <row r="739">
      <c r="A739" s="35"/>
      <c r="C739" s="138"/>
      <c r="D739" s="35"/>
      <c r="E739" s="146"/>
      <c r="F739" s="146"/>
    </row>
    <row r="740">
      <c r="A740" s="35"/>
      <c r="C740" s="138"/>
      <c r="D740" s="35"/>
      <c r="E740" s="146"/>
      <c r="F740" s="146"/>
    </row>
    <row r="741">
      <c r="A741" s="35"/>
      <c r="C741" s="138"/>
      <c r="D741" s="35"/>
      <c r="E741" s="146"/>
      <c r="F741" s="146"/>
    </row>
    <row r="742">
      <c r="A742" s="35"/>
      <c r="C742" s="138"/>
      <c r="D742" s="35"/>
      <c r="E742" s="146"/>
      <c r="F742" s="146"/>
    </row>
    <row r="743">
      <c r="A743" s="35"/>
      <c r="C743" s="138"/>
      <c r="D743" s="35"/>
      <c r="E743" s="146"/>
      <c r="F743" s="146"/>
    </row>
    <row r="744">
      <c r="A744" s="35"/>
      <c r="C744" s="138"/>
      <c r="D744" s="35"/>
      <c r="E744" s="146"/>
      <c r="F744" s="146"/>
    </row>
    <row r="745">
      <c r="A745" s="35"/>
      <c r="C745" s="138"/>
      <c r="D745" s="35"/>
      <c r="E745" s="146"/>
      <c r="F745" s="146"/>
    </row>
    <row r="746">
      <c r="A746" s="35"/>
      <c r="C746" s="138"/>
      <c r="D746" s="35"/>
      <c r="E746" s="146"/>
      <c r="F746" s="146"/>
    </row>
    <row r="747">
      <c r="A747" s="35"/>
      <c r="C747" s="138"/>
      <c r="D747" s="35"/>
      <c r="E747" s="146"/>
      <c r="F747" s="146"/>
    </row>
    <row r="748">
      <c r="A748" s="35"/>
      <c r="C748" s="138"/>
      <c r="D748" s="35"/>
      <c r="E748" s="146"/>
      <c r="F748" s="146"/>
    </row>
    <row r="749">
      <c r="A749" s="35"/>
      <c r="C749" s="138"/>
      <c r="D749" s="35"/>
      <c r="E749" s="146"/>
      <c r="F749" s="146"/>
    </row>
    <row r="750">
      <c r="A750" s="35"/>
      <c r="C750" s="138"/>
      <c r="D750" s="35"/>
      <c r="E750" s="146"/>
      <c r="F750" s="146"/>
    </row>
    <row r="751">
      <c r="A751" s="35"/>
      <c r="C751" s="138"/>
      <c r="D751" s="35"/>
      <c r="E751" s="146"/>
      <c r="F751" s="146"/>
    </row>
    <row r="752">
      <c r="A752" s="35"/>
      <c r="C752" s="138"/>
      <c r="D752" s="35"/>
      <c r="E752" s="146"/>
      <c r="F752" s="146"/>
    </row>
    <row r="753">
      <c r="A753" s="35"/>
      <c r="C753" s="138"/>
      <c r="D753" s="35"/>
      <c r="E753" s="146"/>
      <c r="F753" s="146"/>
    </row>
    <row r="754">
      <c r="A754" s="35"/>
      <c r="C754" s="138"/>
      <c r="D754" s="35"/>
      <c r="E754" s="146"/>
      <c r="F754" s="146"/>
    </row>
    <row r="755">
      <c r="A755" s="35"/>
      <c r="C755" s="138"/>
      <c r="D755" s="35"/>
      <c r="E755" s="146"/>
      <c r="F755" s="146"/>
    </row>
    <row r="756">
      <c r="A756" s="35"/>
      <c r="C756" s="138"/>
      <c r="D756" s="35"/>
      <c r="E756" s="146"/>
      <c r="F756" s="146"/>
    </row>
    <row r="757">
      <c r="A757" s="35"/>
      <c r="C757" s="138"/>
      <c r="D757" s="35"/>
      <c r="E757" s="146"/>
      <c r="F757" s="146"/>
    </row>
    <row r="758">
      <c r="A758" s="35"/>
      <c r="C758" s="138"/>
      <c r="D758" s="35"/>
      <c r="E758" s="146"/>
      <c r="F758" s="146"/>
    </row>
    <row r="759">
      <c r="A759" s="35"/>
      <c r="C759" s="138"/>
      <c r="D759" s="35"/>
      <c r="E759" s="146"/>
      <c r="F759" s="146"/>
    </row>
    <row r="760">
      <c r="A760" s="35"/>
      <c r="C760" s="138"/>
      <c r="D760" s="35"/>
      <c r="E760" s="146"/>
      <c r="F760" s="146"/>
    </row>
    <row r="761">
      <c r="A761" s="35"/>
      <c r="C761" s="138"/>
      <c r="D761" s="35"/>
      <c r="E761" s="146"/>
      <c r="F761" s="146"/>
    </row>
    <row r="762">
      <c r="A762" s="35"/>
      <c r="C762" s="138"/>
      <c r="D762" s="35"/>
      <c r="E762" s="146"/>
      <c r="F762" s="146"/>
    </row>
    <row r="763">
      <c r="A763" s="35"/>
      <c r="C763" s="138"/>
      <c r="D763" s="35"/>
      <c r="E763" s="146"/>
      <c r="F763" s="146"/>
    </row>
    <row r="764">
      <c r="A764" s="35"/>
      <c r="C764" s="138"/>
      <c r="D764" s="35"/>
      <c r="E764" s="146"/>
      <c r="F764" s="146"/>
    </row>
    <row r="765">
      <c r="A765" s="35"/>
      <c r="C765" s="138"/>
      <c r="D765" s="35"/>
      <c r="E765" s="146"/>
      <c r="F765" s="146"/>
    </row>
    <row r="766">
      <c r="A766" s="35"/>
      <c r="C766" s="138"/>
      <c r="D766" s="35"/>
      <c r="E766" s="146"/>
      <c r="F766" s="146"/>
    </row>
    <row r="767">
      <c r="A767" s="35"/>
      <c r="C767" s="138"/>
      <c r="D767" s="35"/>
      <c r="E767" s="146"/>
      <c r="F767" s="146"/>
    </row>
    <row r="768">
      <c r="A768" s="35"/>
      <c r="C768" s="138"/>
      <c r="D768" s="35"/>
      <c r="E768" s="146"/>
      <c r="F768" s="146"/>
    </row>
    <row r="769">
      <c r="A769" s="35"/>
      <c r="C769" s="138"/>
      <c r="D769" s="35"/>
      <c r="E769" s="146"/>
      <c r="F769" s="146"/>
    </row>
    <row r="770">
      <c r="A770" s="35"/>
      <c r="C770" s="138"/>
      <c r="D770" s="35"/>
      <c r="E770" s="146"/>
      <c r="F770" s="146"/>
    </row>
    <row r="771">
      <c r="A771" s="35"/>
      <c r="C771" s="138"/>
      <c r="D771" s="35"/>
      <c r="E771" s="146"/>
      <c r="F771" s="146"/>
    </row>
    <row r="772">
      <c r="A772" s="35"/>
      <c r="C772" s="138"/>
      <c r="D772" s="35"/>
      <c r="E772" s="146"/>
      <c r="F772" s="146"/>
    </row>
    <row r="773">
      <c r="A773" s="35"/>
      <c r="C773" s="138"/>
      <c r="D773" s="35"/>
      <c r="E773" s="146"/>
      <c r="F773" s="146"/>
    </row>
    <row r="774">
      <c r="A774" s="35"/>
      <c r="C774" s="138"/>
      <c r="D774" s="35"/>
      <c r="E774" s="146"/>
      <c r="F774" s="146"/>
    </row>
    <row r="775">
      <c r="A775" s="35"/>
      <c r="C775" s="138"/>
      <c r="D775" s="35"/>
      <c r="E775" s="146"/>
      <c r="F775" s="146"/>
    </row>
    <row r="776">
      <c r="A776" s="35"/>
      <c r="C776" s="138"/>
      <c r="D776" s="35"/>
      <c r="E776" s="146"/>
      <c r="F776" s="146"/>
    </row>
    <row r="777">
      <c r="A777" s="35"/>
      <c r="C777" s="138"/>
      <c r="D777" s="35"/>
      <c r="E777" s="146"/>
      <c r="F777" s="146"/>
    </row>
    <row r="778">
      <c r="A778" s="35"/>
      <c r="C778" s="138"/>
      <c r="D778" s="35"/>
      <c r="E778" s="146"/>
      <c r="F778" s="146"/>
    </row>
    <row r="779">
      <c r="A779" s="35"/>
      <c r="C779" s="138"/>
      <c r="D779" s="35"/>
      <c r="E779" s="146"/>
      <c r="F779" s="146"/>
    </row>
    <row r="780">
      <c r="A780" s="35"/>
      <c r="C780" s="138"/>
      <c r="D780" s="35"/>
      <c r="E780" s="146"/>
      <c r="F780" s="146"/>
    </row>
    <row r="781">
      <c r="A781" s="35"/>
      <c r="C781" s="138"/>
      <c r="D781" s="35"/>
      <c r="E781" s="146"/>
      <c r="F781" s="146"/>
    </row>
    <row r="782">
      <c r="A782" s="35"/>
      <c r="C782" s="138"/>
      <c r="D782" s="35"/>
      <c r="E782" s="146"/>
      <c r="F782" s="146"/>
    </row>
    <row r="783">
      <c r="A783" s="35"/>
      <c r="C783" s="138"/>
      <c r="D783" s="35"/>
      <c r="E783" s="146"/>
      <c r="F783" s="146"/>
    </row>
    <row r="784">
      <c r="A784" s="35"/>
      <c r="C784" s="138"/>
      <c r="D784" s="35"/>
      <c r="E784" s="146"/>
      <c r="F784" s="146"/>
    </row>
    <row r="785">
      <c r="A785" s="35"/>
      <c r="C785" s="138"/>
      <c r="D785" s="35"/>
      <c r="E785" s="146"/>
      <c r="F785" s="146"/>
    </row>
    <row r="786">
      <c r="A786" s="35"/>
      <c r="C786" s="138"/>
      <c r="D786" s="35"/>
      <c r="E786" s="146"/>
      <c r="F786" s="146"/>
    </row>
    <row r="787">
      <c r="A787" s="35"/>
      <c r="C787" s="138"/>
      <c r="D787" s="35"/>
      <c r="E787" s="146"/>
      <c r="F787" s="146"/>
    </row>
    <row r="788">
      <c r="A788" s="35"/>
      <c r="C788" s="138"/>
      <c r="D788" s="35"/>
      <c r="E788" s="146"/>
      <c r="F788" s="146"/>
    </row>
    <row r="789">
      <c r="A789" s="35"/>
      <c r="C789" s="138"/>
      <c r="D789" s="35"/>
      <c r="E789" s="146"/>
      <c r="F789" s="146"/>
    </row>
    <row r="790">
      <c r="A790" s="35"/>
      <c r="C790" s="138"/>
      <c r="D790" s="35"/>
      <c r="E790" s="146"/>
      <c r="F790" s="146"/>
    </row>
    <row r="791">
      <c r="A791" s="35"/>
      <c r="C791" s="138"/>
      <c r="D791" s="35"/>
      <c r="E791" s="146"/>
      <c r="F791" s="146"/>
    </row>
    <row r="792">
      <c r="A792" s="35"/>
      <c r="C792" s="138"/>
      <c r="D792" s="35"/>
      <c r="E792" s="146"/>
      <c r="F792" s="146"/>
    </row>
    <row r="793">
      <c r="A793" s="35"/>
      <c r="C793" s="138"/>
      <c r="D793" s="35"/>
      <c r="E793" s="146"/>
      <c r="F793" s="146"/>
    </row>
    <row r="794">
      <c r="A794" s="35"/>
      <c r="C794" s="138"/>
      <c r="D794" s="35"/>
      <c r="E794" s="146"/>
      <c r="F794" s="146"/>
    </row>
    <row r="795">
      <c r="A795" s="35"/>
      <c r="C795" s="138"/>
      <c r="D795" s="35"/>
      <c r="E795" s="146"/>
      <c r="F795" s="146"/>
    </row>
    <row r="796">
      <c r="A796" s="35"/>
      <c r="C796" s="138"/>
      <c r="D796" s="35"/>
      <c r="E796" s="146"/>
      <c r="F796" s="146"/>
    </row>
    <row r="797">
      <c r="A797" s="35"/>
      <c r="C797" s="138"/>
      <c r="D797" s="35"/>
      <c r="E797" s="146"/>
      <c r="F797" s="146"/>
    </row>
    <row r="798">
      <c r="A798" s="35"/>
      <c r="C798" s="138"/>
      <c r="D798" s="35"/>
      <c r="E798" s="146"/>
      <c r="F798" s="146"/>
    </row>
    <row r="799">
      <c r="A799" s="35"/>
      <c r="C799" s="138"/>
      <c r="D799" s="35"/>
      <c r="E799" s="146"/>
      <c r="F799" s="146"/>
    </row>
    <row r="800">
      <c r="A800" s="35"/>
      <c r="C800" s="138"/>
      <c r="D800" s="35"/>
      <c r="E800" s="146"/>
      <c r="F800" s="146"/>
    </row>
    <row r="801">
      <c r="A801" s="35"/>
      <c r="C801" s="138"/>
      <c r="D801" s="35"/>
      <c r="E801" s="146"/>
      <c r="F801" s="146"/>
    </row>
    <row r="802">
      <c r="A802" s="35"/>
      <c r="C802" s="138"/>
      <c r="D802" s="35"/>
      <c r="E802" s="146"/>
      <c r="F802" s="146"/>
    </row>
    <row r="803">
      <c r="A803" s="35"/>
      <c r="C803" s="138"/>
      <c r="D803" s="35"/>
      <c r="E803" s="146"/>
      <c r="F803" s="146"/>
    </row>
    <row r="804">
      <c r="A804" s="35"/>
      <c r="C804" s="138"/>
      <c r="D804" s="35"/>
      <c r="E804" s="146"/>
      <c r="F804" s="146"/>
    </row>
    <row r="805">
      <c r="A805" s="35"/>
      <c r="C805" s="138"/>
      <c r="D805" s="35"/>
      <c r="E805" s="146"/>
      <c r="F805" s="146"/>
    </row>
    <row r="806">
      <c r="A806" s="35"/>
      <c r="C806" s="138"/>
      <c r="D806" s="35"/>
      <c r="E806" s="146"/>
      <c r="F806" s="146"/>
    </row>
    <row r="807">
      <c r="A807" s="35"/>
      <c r="C807" s="138"/>
      <c r="D807" s="35"/>
      <c r="E807" s="146"/>
      <c r="F807" s="146"/>
    </row>
    <row r="808">
      <c r="A808" s="35"/>
      <c r="C808" s="138"/>
      <c r="D808" s="35"/>
      <c r="E808" s="146"/>
      <c r="F808" s="146"/>
    </row>
    <row r="809">
      <c r="A809" s="35"/>
      <c r="C809" s="138"/>
      <c r="D809" s="35"/>
      <c r="E809" s="146"/>
      <c r="F809" s="146"/>
    </row>
    <row r="810">
      <c r="A810" s="35"/>
      <c r="C810" s="138"/>
      <c r="D810" s="35"/>
      <c r="E810" s="146"/>
      <c r="F810" s="146"/>
    </row>
    <row r="811">
      <c r="A811" s="35"/>
      <c r="C811" s="138"/>
      <c r="D811" s="35"/>
      <c r="E811" s="146"/>
      <c r="F811" s="146"/>
    </row>
    <row r="812">
      <c r="A812" s="35"/>
      <c r="C812" s="138"/>
      <c r="D812" s="35"/>
      <c r="E812" s="146"/>
      <c r="F812" s="146"/>
    </row>
    <row r="813">
      <c r="A813" s="35"/>
      <c r="C813" s="138"/>
      <c r="D813" s="35"/>
      <c r="E813" s="146"/>
      <c r="F813" s="146"/>
    </row>
    <row r="814">
      <c r="A814" s="35"/>
      <c r="C814" s="138"/>
      <c r="D814" s="35"/>
      <c r="E814" s="146"/>
      <c r="F814" s="146"/>
    </row>
    <row r="815">
      <c r="A815" s="35"/>
      <c r="C815" s="138"/>
      <c r="D815" s="35"/>
      <c r="E815" s="146"/>
      <c r="F815" s="146"/>
    </row>
    <row r="816">
      <c r="A816" s="35"/>
      <c r="C816" s="138"/>
      <c r="D816" s="35"/>
      <c r="E816" s="146"/>
      <c r="F816" s="146"/>
    </row>
    <row r="817">
      <c r="A817" s="35"/>
      <c r="C817" s="138"/>
      <c r="D817" s="35"/>
      <c r="E817" s="146"/>
      <c r="F817" s="146"/>
    </row>
    <row r="818">
      <c r="A818" s="35"/>
      <c r="C818" s="138"/>
      <c r="D818" s="35"/>
      <c r="E818" s="146"/>
      <c r="F818" s="146"/>
    </row>
    <row r="819">
      <c r="A819" s="35"/>
      <c r="C819" s="138"/>
      <c r="D819" s="35"/>
      <c r="E819" s="146"/>
      <c r="F819" s="146"/>
    </row>
    <row r="820">
      <c r="A820" s="35"/>
      <c r="C820" s="138"/>
      <c r="D820" s="35"/>
      <c r="E820" s="146"/>
      <c r="F820" s="146"/>
    </row>
    <row r="821">
      <c r="A821" s="35"/>
      <c r="C821" s="138"/>
      <c r="D821" s="35"/>
      <c r="E821" s="146"/>
      <c r="F821" s="146"/>
    </row>
    <row r="822">
      <c r="A822" s="35"/>
      <c r="C822" s="138"/>
      <c r="D822" s="35"/>
      <c r="E822" s="146"/>
      <c r="F822" s="146"/>
    </row>
    <row r="823">
      <c r="A823" s="35"/>
      <c r="C823" s="138"/>
      <c r="D823" s="35"/>
      <c r="E823" s="146"/>
      <c r="F823" s="146"/>
    </row>
    <row r="824">
      <c r="A824" s="35"/>
      <c r="C824" s="138"/>
      <c r="D824" s="35"/>
      <c r="E824" s="146"/>
      <c r="F824" s="146"/>
    </row>
    <row r="825">
      <c r="A825" s="35"/>
      <c r="C825" s="138"/>
      <c r="D825" s="35"/>
      <c r="E825" s="146"/>
      <c r="F825" s="146"/>
    </row>
    <row r="826">
      <c r="A826" s="35"/>
      <c r="C826" s="138"/>
      <c r="D826" s="35"/>
      <c r="E826" s="146"/>
      <c r="F826" s="146"/>
    </row>
    <row r="827">
      <c r="A827" s="35"/>
      <c r="C827" s="138"/>
      <c r="D827" s="35"/>
      <c r="E827" s="146"/>
      <c r="F827" s="146"/>
    </row>
    <row r="828">
      <c r="A828" s="35"/>
      <c r="C828" s="138"/>
      <c r="D828" s="35"/>
      <c r="E828" s="146"/>
      <c r="F828" s="146"/>
    </row>
    <row r="829">
      <c r="A829" s="35"/>
      <c r="C829" s="138"/>
      <c r="D829" s="35"/>
      <c r="E829" s="146"/>
      <c r="F829" s="146"/>
    </row>
    <row r="830">
      <c r="A830" s="35"/>
      <c r="C830" s="138"/>
      <c r="D830" s="35"/>
      <c r="E830" s="146"/>
      <c r="F830" s="146"/>
    </row>
    <row r="831">
      <c r="A831" s="35"/>
      <c r="C831" s="138"/>
      <c r="D831" s="35"/>
      <c r="E831" s="146"/>
      <c r="F831" s="146"/>
    </row>
    <row r="832">
      <c r="A832" s="35"/>
      <c r="C832" s="138"/>
      <c r="D832" s="35"/>
      <c r="E832" s="146"/>
      <c r="F832" s="146"/>
    </row>
    <row r="833">
      <c r="A833" s="35"/>
      <c r="C833" s="138"/>
      <c r="D833" s="35"/>
      <c r="E833" s="146"/>
      <c r="F833" s="146"/>
    </row>
    <row r="834">
      <c r="A834" s="35"/>
      <c r="C834" s="138"/>
      <c r="D834" s="35"/>
      <c r="E834" s="146"/>
      <c r="F834" s="146"/>
    </row>
    <row r="835">
      <c r="A835" s="35"/>
      <c r="C835" s="138"/>
      <c r="D835" s="35"/>
      <c r="E835" s="146"/>
      <c r="F835" s="146"/>
    </row>
    <row r="836">
      <c r="A836" s="35"/>
      <c r="C836" s="138"/>
      <c r="D836" s="35"/>
      <c r="E836" s="146"/>
      <c r="F836" s="146"/>
    </row>
    <row r="837">
      <c r="A837" s="35"/>
      <c r="C837" s="138"/>
      <c r="D837" s="35"/>
      <c r="E837" s="146"/>
      <c r="F837" s="146"/>
    </row>
    <row r="838">
      <c r="A838" s="35"/>
      <c r="C838" s="138"/>
      <c r="D838" s="35"/>
      <c r="E838" s="146"/>
      <c r="F838" s="146"/>
    </row>
    <row r="839">
      <c r="A839" s="35"/>
      <c r="C839" s="138"/>
      <c r="D839" s="35"/>
      <c r="E839" s="146"/>
      <c r="F839" s="146"/>
    </row>
    <row r="840">
      <c r="A840" s="35"/>
      <c r="C840" s="138"/>
      <c r="D840" s="35"/>
      <c r="E840" s="146"/>
      <c r="F840" s="146"/>
    </row>
    <row r="841">
      <c r="A841" s="35"/>
      <c r="C841" s="138"/>
      <c r="D841" s="35"/>
      <c r="E841" s="146"/>
      <c r="F841" s="146"/>
    </row>
    <row r="842">
      <c r="A842" s="35"/>
      <c r="C842" s="138"/>
      <c r="D842" s="35"/>
      <c r="E842" s="146"/>
      <c r="F842" s="146"/>
    </row>
    <row r="843">
      <c r="A843" s="35"/>
      <c r="C843" s="138"/>
      <c r="D843" s="35"/>
      <c r="E843" s="146"/>
      <c r="F843" s="146"/>
    </row>
    <row r="844">
      <c r="A844" s="35"/>
      <c r="C844" s="138"/>
      <c r="D844" s="35"/>
      <c r="E844" s="146"/>
      <c r="F844" s="146"/>
    </row>
    <row r="845">
      <c r="A845" s="35"/>
      <c r="C845" s="138"/>
      <c r="D845" s="35"/>
      <c r="E845" s="146"/>
      <c r="F845" s="146"/>
    </row>
    <row r="846">
      <c r="A846" s="35"/>
      <c r="C846" s="138"/>
      <c r="D846" s="35"/>
      <c r="E846" s="146"/>
      <c r="F846" s="146"/>
    </row>
    <row r="847">
      <c r="A847" s="35"/>
      <c r="C847" s="138"/>
      <c r="D847" s="35"/>
      <c r="E847" s="146"/>
      <c r="F847" s="146"/>
    </row>
    <row r="848">
      <c r="A848" s="35"/>
      <c r="C848" s="138"/>
      <c r="D848" s="35"/>
      <c r="E848" s="146"/>
      <c r="F848" s="146"/>
    </row>
    <row r="849">
      <c r="A849" s="35"/>
      <c r="C849" s="138"/>
      <c r="D849" s="35"/>
      <c r="E849" s="146"/>
      <c r="F849" s="146"/>
    </row>
    <row r="850">
      <c r="A850" s="35"/>
      <c r="C850" s="138"/>
      <c r="D850" s="35"/>
      <c r="E850" s="146"/>
      <c r="F850" s="146"/>
    </row>
    <row r="851">
      <c r="A851" s="35"/>
      <c r="C851" s="138"/>
      <c r="D851" s="35"/>
      <c r="E851" s="146"/>
      <c r="F851" s="146"/>
    </row>
    <row r="852">
      <c r="A852" s="35"/>
      <c r="C852" s="138"/>
      <c r="D852" s="35"/>
      <c r="E852" s="146"/>
      <c r="F852" s="146"/>
    </row>
    <row r="853">
      <c r="A853" s="35"/>
      <c r="C853" s="138"/>
      <c r="D853" s="35"/>
      <c r="E853" s="146"/>
      <c r="F853" s="146"/>
    </row>
    <row r="854">
      <c r="A854" s="35"/>
      <c r="C854" s="138"/>
      <c r="D854" s="35"/>
      <c r="E854" s="146"/>
      <c r="F854" s="146"/>
    </row>
    <row r="855">
      <c r="A855" s="35"/>
      <c r="C855" s="138"/>
      <c r="D855" s="35"/>
      <c r="E855" s="146"/>
      <c r="F855" s="146"/>
    </row>
    <row r="856">
      <c r="A856" s="35"/>
      <c r="C856" s="138"/>
      <c r="D856" s="35"/>
      <c r="E856" s="146"/>
      <c r="F856" s="146"/>
    </row>
    <row r="857">
      <c r="A857" s="35"/>
      <c r="C857" s="138"/>
      <c r="D857" s="35"/>
      <c r="E857" s="146"/>
      <c r="F857" s="146"/>
    </row>
    <row r="858">
      <c r="A858" s="35"/>
      <c r="C858" s="138"/>
      <c r="D858" s="35"/>
      <c r="E858" s="146"/>
      <c r="F858" s="146"/>
    </row>
    <row r="859">
      <c r="A859" s="35"/>
      <c r="C859" s="138"/>
      <c r="D859" s="35"/>
      <c r="E859" s="146"/>
      <c r="F859" s="146"/>
    </row>
    <row r="860">
      <c r="A860" s="35"/>
      <c r="C860" s="138"/>
      <c r="D860" s="35"/>
      <c r="E860" s="146"/>
      <c r="F860" s="146"/>
    </row>
    <row r="861">
      <c r="A861" s="35"/>
      <c r="C861" s="138"/>
      <c r="D861" s="35"/>
      <c r="E861" s="146"/>
      <c r="F861" s="146"/>
    </row>
    <row r="862">
      <c r="A862" s="35"/>
      <c r="C862" s="138"/>
      <c r="D862" s="35"/>
      <c r="E862" s="146"/>
      <c r="F862" s="146"/>
    </row>
    <row r="863">
      <c r="A863" s="35"/>
      <c r="C863" s="138"/>
      <c r="D863" s="35"/>
      <c r="E863" s="146"/>
      <c r="F863" s="146"/>
    </row>
    <row r="864">
      <c r="A864" s="35"/>
      <c r="C864" s="138"/>
      <c r="D864" s="35"/>
      <c r="E864" s="146"/>
      <c r="F864" s="146"/>
    </row>
    <row r="865">
      <c r="A865" s="35"/>
      <c r="C865" s="138"/>
      <c r="D865" s="35"/>
      <c r="E865" s="146"/>
      <c r="F865" s="146"/>
    </row>
    <row r="866">
      <c r="A866" s="35"/>
      <c r="C866" s="138"/>
      <c r="D866" s="35"/>
      <c r="E866" s="146"/>
      <c r="F866" s="146"/>
    </row>
    <row r="867">
      <c r="A867" s="35"/>
      <c r="C867" s="138"/>
      <c r="D867" s="35"/>
      <c r="E867" s="146"/>
      <c r="F867" s="146"/>
    </row>
    <row r="868">
      <c r="A868" s="35"/>
      <c r="C868" s="138"/>
      <c r="D868" s="35"/>
      <c r="E868" s="146"/>
      <c r="F868" s="146"/>
    </row>
    <row r="869">
      <c r="A869" s="35"/>
      <c r="C869" s="138"/>
      <c r="D869" s="35"/>
      <c r="E869" s="146"/>
      <c r="F869" s="146"/>
    </row>
    <row r="870">
      <c r="A870" s="35"/>
      <c r="C870" s="138"/>
      <c r="D870" s="35"/>
      <c r="E870" s="146"/>
      <c r="F870" s="146"/>
    </row>
    <row r="871">
      <c r="A871" s="35"/>
      <c r="C871" s="138"/>
      <c r="D871" s="35"/>
      <c r="E871" s="146"/>
      <c r="F871" s="146"/>
    </row>
    <row r="872">
      <c r="A872" s="35"/>
      <c r="C872" s="138"/>
      <c r="D872" s="35"/>
      <c r="E872" s="146"/>
      <c r="F872" s="146"/>
    </row>
    <row r="873">
      <c r="A873" s="35"/>
      <c r="C873" s="138"/>
      <c r="D873" s="35"/>
      <c r="E873" s="146"/>
      <c r="F873" s="146"/>
    </row>
    <row r="874">
      <c r="A874" s="35"/>
      <c r="C874" s="138"/>
      <c r="D874" s="35"/>
      <c r="E874" s="146"/>
      <c r="F874" s="146"/>
    </row>
    <row r="875">
      <c r="A875" s="35"/>
      <c r="C875" s="138"/>
      <c r="D875" s="35"/>
      <c r="E875" s="146"/>
      <c r="F875" s="146"/>
    </row>
    <row r="876">
      <c r="A876" s="35"/>
      <c r="C876" s="138"/>
      <c r="D876" s="35"/>
      <c r="E876" s="146"/>
      <c r="F876" s="146"/>
    </row>
    <row r="877">
      <c r="A877" s="35"/>
      <c r="C877" s="138"/>
      <c r="D877" s="35"/>
      <c r="E877" s="146"/>
      <c r="F877" s="146"/>
    </row>
    <row r="878">
      <c r="A878" s="35"/>
      <c r="C878" s="138"/>
      <c r="D878" s="35"/>
      <c r="E878" s="146"/>
      <c r="F878" s="146"/>
    </row>
    <row r="879">
      <c r="A879" s="35"/>
      <c r="C879" s="138"/>
      <c r="D879" s="35"/>
      <c r="E879" s="146"/>
      <c r="F879" s="146"/>
    </row>
    <row r="880">
      <c r="A880" s="35"/>
      <c r="C880" s="138"/>
      <c r="D880" s="35"/>
      <c r="E880" s="146"/>
      <c r="F880" s="146"/>
    </row>
    <row r="881">
      <c r="A881" s="35"/>
      <c r="C881" s="138"/>
      <c r="D881" s="35"/>
      <c r="E881" s="146"/>
      <c r="F881" s="146"/>
    </row>
    <row r="882">
      <c r="A882" s="35"/>
      <c r="C882" s="138"/>
      <c r="D882" s="35"/>
      <c r="E882" s="146"/>
      <c r="F882" s="146"/>
    </row>
    <row r="883">
      <c r="A883" s="35"/>
      <c r="C883" s="138"/>
      <c r="D883" s="35"/>
      <c r="E883" s="146"/>
      <c r="F883" s="146"/>
    </row>
    <row r="884">
      <c r="A884" s="35"/>
      <c r="C884" s="138"/>
      <c r="D884" s="35"/>
      <c r="E884" s="146"/>
      <c r="F884" s="146"/>
    </row>
    <row r="885">
      <c r="A885" s="35"/>
      <c r="C885" s="138"/>
      <c r="D885" s="35"/>
      <c r="E885" s="146"/>
      <c r="F885" s="146"/>
    </row>
    <row r="886">
      <c r="A886" s="35"/>
      <c r="C886" s="138"/>
      <c r="D886" s="35"/>
      <c r="E886" s="146"/>
      <c r="F886" s="146"/>
    </row>
    <row r="887">
      <c r="A887" s="35"/>
      <c r="C887" s="138"/>
      <c r="D887" s="35"/>
      <c r="E887" s="146"/>
      <c r="F887" s="146"/>
    </row>
    <row r="888">
      <c r="A888" s="35"/>
      <c r="C888" s="138"/>
      <c r="D888" s="35"/>
      <c r="E888" s="146"/>
      <c r="F888" s="146"/>
    </row>
    <row r="889">
      <c r="A889" s="35"/>
      <c r="C889" s="138"/>
      <c r="D889" s="35"/>
      <c r="E889" s="146"/>
      <c r="F889" s="146"/>
    </row>
    <row r="890">
      <c r="A890" s="35"/>
      <c r="C890" s="138"/>
      <c r="D890" s="35"/>
      <c r="E890" s="146"/>
      <c r="F890" s="146"/>
    </row>
    <row r="891">
      <c r="A891" s="35"/>
      <c r="C891" s="138"/>
      <c r="D891" s="35"/>
      <c r="E891" s="146"/>
      <c r="F891" s="146"/>
    </row>
    <row r="892">
      <c r="A892" s="35"/>
      <c r="C892" s="138"/>
      <c r="D892" s="35"/>
      <c r="E892" s="146"/>
      <c r="F892" s="146"/>
    </row>
    <row r="893">
      <c r="A893" s="35"/>
      <c r="C893" s="138"/>
      <c r="D893" s="35"/>
      <c r="E893" s="146"/>
      <c r="F893" s="146"/>
    </row>
    <row r="894">
      <c r="A894" s="35"/>
      <c r="C894" s="138"/>
      <c r="D894" s="35"/>
      <c r="E894" s="146"/>
      <c r="F894" s="146"/>
    </row>
    <row r="895">
      <c r="A895" s="35"/>
      <c r="C895" s="138"/>
      <c r="D895" s="35"/>
      <c r="E895" s="146"/>
      <c r="F895" s="146"/>
    </row>
    <row r="896">
      <c r="A896" s="35"/>
      <c r="C896" s="138"/>
      <c r="D896" s="35"/>
      <c r="E896" s="146"/>
      <c r="F896" s="146"/>
    </row>
    <row r="897">
      <c r="A897" s="35"/>
      <c r="C897" s="138"/>
      <c r="D897" s="35"/>
      <c r="E897" s="146"/>
      <c r="F897" s="146"/>
    </row>
    <row r="898">
      <c r="A898" s="35"/>
      <c r="C898" s="138"/>
      <c r="D898" s="35"/>
      <c r="E898" s="146"/>
      <c r="F898" s="146"/>
    </row>
    <row r="899">
      <c r="A899" s="35"/>
      <c r="C899" s="138"/>
      <c r="D899" s="35"/>
      <c r="E899" s="146"/>
      <c r="F899" s="146"/>
    </row>
    <row r="900">
      <c r="A900" s="35"/>
      <c r="C900" s="138"/>
      <c r="D900" s="35"/>
      <c r="E900" s="146"/>
      <c r="F900" s="146"/>
    </row>
    <row r="901">
      <c r="A901" s="35"/>
      <c r="C901" s="138"/>
      <c r="D901" s="35"/>
      <c r="E901" s="146"/>
      <c r="F901" s="146"/>
    </row>
    <row r="902">
      <c r="A902" s="35"/>
      <c r="C902" s="138"/>
      <c r="D902" s="35"/>
      <c r="E902" s="146"/>
      <c r="F902" s="146"/>
    </row>
    <row r="903">
      <c r="A903" s="35"/>
      <c r="C903" s="138"/>
      <c r="D903" s="35"/>
      <c r="E903" s="146"/>
      <c r="F903" s="146"/>
    </row>
    <row r="904">
      <c r="A904" s="35"/>
      <c r="C904" s="138"/>
      <c r="D904" s="35"/>
      <c r="E904" s="146"/>
      <c r="F904" s="146"/>
    </row>
    <row r="905">
      <c r="A905" s="35"/>
      <c r="C905" s="138"/>
      <c r="D905" s="35"/>
      <c r="E905" s="146"/>
      <c r="F905" s="146"/>
    </row>
    <row r="906">
      <c r="A906" s="35"/>
      <c r="C906" s="138"/>
      <c r="D906" s="35"/>
      <c r="E906" s="146"/>
      <c r="F906" s="146"/>
    </row>
    <row r="907">
      <c r="A907" s="35"/>
      <c r="C907" s="138"/>
      <c r="D907" s="35"/>
      <c r="E907" s="146"/>
      <c r="F907" s="146"/>
    </row>
    <row r="908">
      <c r="A908" s="35"/>
      <c r="C908" s="138"/>
      <c r="D908" s="35"/>
      <c r="E908" s="146"/>
      <c r="F908" s="146"/>
    </row>
    <row r="909">
      <c r="A909" s="35"/>
      <c r="C909" s="138"/>
      <c r="D909" s="35"/>
      <c r="E909" s="146"/>
      <c r="F909" s="146"/>
    </row>
    <row r="910">
      <c r="A910" s="35"/>
      <c r="C910" s="138"/>
      <c r="D910" s="35"/>
      <c r="E910" s="146"/>
      <c r="F910" s="146"/>
    </row>
    <row r="911">
      <c r="A911" s="35"/>
      <c r="C911" s="138"/>
      <c r="D911" s="35"/>
      <c r="E911" s="146"/>
      <c r="F911" s="146"/>
    </row>
    <row r="912">
      <c r="A912" s="35"/>
      <c r="C912" s="138"/>
      <c r="D912" s="35"/>
      <c r="E912" s="146"/>
      <c r="F912" s="146"/>
    </row>
    <row r="913">
      <c r="A913" s="35"/>
      <c r="C913" s="138"/>
      <c r="D913" s="35"/>
      <c r="E913" s="146"/>
      <c r="F913" s="146"/>
    </row>
    <row r="914">
      <c r="A914" s="35"/>
      <c r="C914" s="138"/>
      <c r="D914" s="35"/>
      <c r="E914" s="146"/>
      <c r="F914" s="146"/>
    </row>
    <row r="915">
      <c r="A915" s="35"/>
      <c r="C915" s="138"/>
      <c r="D915" s="35"/>
      <c r="E915" s="146"/>
      <c r="F915" s="146"/>
    </row>
    <row r="916">
      <c r="A916" s="35"/>
      <c r="C916" s="138"/>
      <c r="D916" s="35"/>
      <c r="E916" s="146"/>
      <c r="F916" s="146"/>
    </row>
    <row r="917">
      <c r="A917" s="35"/>
      <c r="C917" s="138"/>
      <c r="D917" s="35"/>
      <c r="E917" s="146"/>
      <c r="F917" s="146"/>
    </row>
    <row r="918">
      <c r="A918" s="35"/>
      <c r="C918" s="138"/>
      <c r="D918" s="35"/>
      <c r="E918" s="146"/>
      <c r="F918" s="146"/>
    </row>
    <row r="919">
      <c r="A919" s="35"/>
      <c r="C919" s="138"/>
      <c r="D919" s="35"/>
      <c r="E919" s="146"/>
      <c r="F919" s="146"/>
    </row>
    <row r="920">
      <c r="A920" s="35"/>
      <c r="C920" s="138"/>
      <c r="D920" s="35"/>
      <c r="E920" s="146"/>
      <c r="F920" s="146"/>
    </row>
    <row r="921">
      <c r="A921" s="35"/>
      <c r="C921" s="138"/>
      <c r="D921" s="35"/>
      <c r="E921" s="146"/>
      <c r="F921" s="146"/>
    </row>
    <row r="922">
      <c r="A922" s="35"/>
      <c r="C922" s="138"/>
      <c r="D922" s="35"/>
      <c r="E922" s="146"/>
      <c r="F922" s="146"/>
    </row>
    <row r="923">
      <c r="A923" s="35"/>
      <c r="C923" s="138"/>
      <c r="D923" s="35"/>
      <c r="E923" s="146"/>
      <c r="F923" s="146"/>
    </row>
    <row r="924">
      <c r="A924" s="35"/>
      <c r="C924" s="138"/>
      <c r="D924" s="35"/>
      <c r="E924" s="146"/>
      <c r="F924" s="146"/>
    </row>
    <row r="925">
      <c r="A925" s="35"/>
      <c r="C925" s="138"/>
      <c r="D925" s="35"/>
      <c r="E925" s="146"/>
      <c r="F925" s="146"/>
    </row>
    <row r="926">
      <c r="A926" s="35"/>
      <c r="C926" s="138"/>
      <c r="D926" s="35"/>
      <c r="E926" s="146"/>
      <c r="F926" s="146"/>
    </row>
    <row r="927">
      <c r="A927" s="35"/>
      <c r="C927" s="138"/>
      <c r="D927" s="35"/>
      <c r="E927" s="146"/>
      <c r="F927" s="146"/>
    </row>
    <row r="928">
      <c r="A928" s="35"/>
      <c r="C928" s="138"/>
      <c r="D928" s="35"/>
      <c r="E928" s="146"/>
      <c r="F928" s="146"/>
    </row>
    <row r="929">
      <c r="A929" s="35"/>
      <c r="C929" s="138"/>
      <c r="D929" s="35"/>
      <c r="E929" s="146"/>
      <c r="F929" s="146"/>
    </row>
    <row r="930">
      <c r="A930" s="35"/>
      <c r="C930" s="138"/>
      <c r="D930" s="35"/>
      <c r="E930" s="146"/>
      <c r="F930" s="146"/>
    </row>
    <row r="931">
      <c r="A931" s="35"/>
      <c r="C931" s="138"/>
      <c r="D931" s="35"/>
      <c r="E931" s="146"/>
      <c r="F931" s="146"/>
    </row>
    <row r="932">
      <c r="A932" s="35"/>
      <c r="C932" s="138"/>
      <c r="D932" s="35"/>
      <c r="E932" s="146"/>
      <c r="F932" s="146"/>
    </row>
    <row r="933">
      <c r="A933" s="35"/>
      <c r="C933" s="138"/>
      <c r="D933" s="35"/>
      <c r="E933" s="146"/>
      <c r="F933" s="146"/>
    </row>
    <row r="934">
      <c r="A934" s="35"/>
      <c r="C934" s="138"/>
      <c r="D934" s="35"/>
      <c r="E934" s="146"/>
      <c r="F934" s="146"/>
    </row>
    <row r="935">
      <c r="A935" s="35"/>
      <c r="C935" s="138"/>
      <c r="D935" s="35"/>
      <c r="E935" s="146"/>
      <c r="F935" s="146"/>
    </row>
    <row r="936">
      <c r="A936" s="35"/>
      <c r="C936" s="138"/>
      <c r="D936" s="35"/>
      <c r="E936" s="146"/>
      <c r="F936" s="146"/>
    </row>
    <row r="937">
      <c r="A937" s="35"/>
      <c r="C937" s="138"/>
      <c r="D937" s="35"/>
      <c r="E937" s="146"/>
      <c r="F937" s="146"/>
    </row>
    <row r="938">
      <c r="A938" s="35"/>
      <c r="C938" s="138"/>
      <c r="D938" s="35"/>
      <c r="E938" s="146"/>
      <c r="F938" s="146"/>
    </row>
    <row r="939">
      <c r="A939" s="35"/>
      <c r="C939" s="138"/>
      <c r="D939" s="35"/>
      <c r="E939" s="146"/>
      <c r="F939" s="146"/>
    </row>
    <row r="940">
      <c r="A940" s="35"/>
      <c r="C940" s="138"/>
      <c r="D940" s="35"/>
      <c r="E940" s="146"/>
      <c r="F940" s="146"/>
    </row>
    <row r="941">
      <c r="A941" s="35"/>
      <c r="C941" s="138"/>
      <c r="D941" s="35"/>
      <c r="E941" s="146"/>
      <c r="F941" s="146"/>
    </row>
    <row r="942">
      <c r="A942" s="35"/>
      <c r="C942" s="138"/>
      <c r="D942" s="35"/>
      <c r="E942" s="146"/>
      <c r="F942" s="146"/>
    </row>
    <row r="943">
      <c r="A943" s="35"/>
      <c r="C943" s="138"/>
      <c r="D943" s="35"/>
      <c r="E943" s="146"/>
      <c r="F943" s="146"/>
    </row>
    <row r="944">
      <c r="A944" s="35"/>
      <c r="C944" s="138"/>
      <c r="D944" s="35"/>
      <c r="E944" s="146"/>
      <c r="F944" s="146"/>
    </row>
    <row r="945">
      <c r="A945" s="35"/>
      <c r="C945" s="138"/>
      <c r="D945" s="35"/>
      <c r="E945" s="146"/>
      <c r="F945" s="146"/>
    </row>
    <row r="946">
      <c r="A946" s="35"/>
      <c r="C946" s="138"/>
      <c r="D946" s="35"/>
      <c r="E946" s="146"/>
      <c r="F946" s="146"/>
    </row>
    <row r="947">
      <c r="A947" s="35"/>
      <c r="C947" s="138"/>
      <c r="D947" s="35"/>
      <c r="E947" s="146"/>
      <c r="F947" s="146"/>
    </row>
    <row r="948">
      <c r="A948" s="35"/>
      <c r="C948" s="138"/>
      <c r="D948" s="35"/>
      <c r="E948" s="146"/>
      <c r="F948" s="146"/>
    </row>
    <row r="949">
      <c r="A949" s="35"/>
      <c r="C949" s="138"/>
      <c r="D949" s="35"/>
      <c r="E949" s="146"/>
      <c r="F949" s="146"/>
    </row>
    <row r="950">
      <c r="A950" s="35"/>
      <c r="C950" s="138"/>
      <c r="D950" s="35"/>
      <c r="E950" s="146"/>
      <c r="F950" s="146"/>
    </row>
    <row r="951">
      <c r="A951" s="35"/>
      <c r="C951" s="138"/>
      <c r="D951" s="35"/>
      <c r="E951" s="146"/>
      <c r="F951" s="146"/>
    </row>
    <row r="952">
      <c r="A952" s="35"/>
      <c r="C952" s="138"/>
      <c r="D952" s="35"/>
      <c r="E952" s="146"/>
      <c r="F952" s="146"/>
    </row>
    <row r="953">
      <c r="A953" s="35"/>
      <c r="C953" s="138"/>
      <c r="D953" s="35"/>
      <c r="E953" s="146"/>
      <c r="F953" s="146"/>
    </row>
    <row r="954">
      <c r="A954" s="35"/>
      <c r="C954" s="138"/>
      <c r="D954" s="35"/>
      <c r="E954" s="146"/>
      <c r="F954" s="146"/>
    </row>
    <row r="955">
      <c r="A955" s="35"/>
      <c r="C955" s="138"/>
      <c r="D955" s="35"/>
      <c r="E955" s="146"/>
      <c r="F955" s="146"/>
    </row>
    <row r="956">
      <c r="A956" s="35"/>
      <c r="C956" s="138"/>
      <c r="D956" s="35"/>
      <c r="E956" s="146"/>
      <c r="F956" s="146"/>
    </row>
    <row r="957">
      <c r="A957" s="35"/>
      <c r="C957" s="138"/>
      <c r="D957" s="35"/>
      <c r="E957" s="146"/>
      <c r="F957" s="146"/>
    </row>
    <row r="958">
      <c r="A958" s="35"/>
      <c r="C958" s="138"/>
      <c r="D958" s="35"/>
      <c r="E958" s="146"/>
      <c r="F958" s="146"/>
    </row>
    <row r="959">
      <c r="A959" s="35"/>
      <c r="C959" s="138"/>
      <c r="D959" s="35"/>
      <c r="E959" s="146"/>
      <c r="F959" s="146"/>
    </row>
    <row r="960">
      <c r="A960" s="35"/>
      <c r="C960" s="138"/>
      <c r="D960" s="35"/>
      <c r="E960" s="146"/>
      <c r="F960" s="146"/>
    </row>
    <row r="961">
      <c r="A961" s="35"/>
      <c r="C961" s="138"/>
      <c r="D961" s="35"/>
      <c r="E961" s="146"/>
      <c r="F961" s="146"/>
    </row>
    <row r="962">
      <c r="A962" s="35"/>
      <c r="C962" s="138"/>
      <c r="D962" s="35"/>
      <c r="E962" s="146"/>
      <c r="F962" s="146"/>
    </row>
    <row r="963">
      <c r="A963" s="35"/>
      <c r="C963" s="138"/>
      <c r="D963" s="35"/>
      <c r="E963" s="146"/>
      <c r="F963" s="146"/>
    </row>
    <row r="964">
      <c r="A964" s="35"/>
      <c r="C964" s="138"/>
      <c r="D964" s="35"/>
      <c r="E964" s="146"/>
      <c r="F964" s="146"/>
    </row>
    <row r="965">
      <c r="A965" s="35"/>
      <c r="C965" s="138"/>
      <c r="D965" s="35"/>
      <c r="E965" s="146"/>
      <c r="F965" s="146"/>
    </row>
    <row r="966">
      <c r="A966" s="35"/>
      <c r="C966" s="138"/>
      <c r="D966" s="35"/>
      <c r="E966" s="146"/>
      <c r="F966" s="146"/>
    </row>
    <row r="967">
      <c r="A967" s="35"/>
      <c r="C967" s="138"/>
      <c r="D967" s="35"/>
      <c r="E967" s="146"/>
      <c r="F967" s="146"/>
    </row>
    <row r="968">
      <c r="A968" s="35"/>
      <c r="C968" s="138"/>
      <c r="D968" s="35"/>
      <c r="E968" s="146"/>
      <c r="F968" s="146"/>
    </row>
    <row r="969">
      <c r="A969" s="35"/>
      <c r="C969" s="138"/>
      <c r="D969" s="35"/>
      <c r="E969" s="146"/>
      <c r="F969" s="146"/>
    </row>
    <row r="970">
      <c r="A970" s="35"/>
      <c r="C970" s="138"/>
      <c r="D970" s="35"/>
      <c r="E970" s="146"/>
      <c r="F970" s="146"/>
    </row>
    <row r="971">
      <c r="A971" s="35"/>
      <c r="C971" s="138"/>
      <c r="D971" s="35"/>
      <c r="E971" s="146"/>
      <c r="F971" s="146"/>
    </row>
    <row r="972">
      <c r="A972" s="35"/>
      <c r="C972" s="138"/>
      <c r="D972" s="35"/>
      <c r="E972" s="146"/>
      <c r="F972" s="146"/>
    </row>
    <row r="973">
      <c r="A973" s="35"/>
      <c r="C973" s="138"/>
      <c r="D973" s="35"/>
      <c r="E973" s="146"/>
      <c r="F973" s="146"/>
    </row>
    <row r="974">
      <c r="A974" s="35"/>
      <c r="C974" s="138"/>
      <c r="D974" s="35"/>
      <c r="E974" s="146"/>
      <c r="F974" s="146"/>
    </row>
    <row r="975">
      <c r="A975" s="35"/>
      <c r="C975" s="138"/>
      <c r="D975" s="35"/>
      <c r="E975" s="146"/>
      <c r="F975" s="146"/>
    </row>
    <row r="976">
      <c r="A976" s="35"/>
      <c r="C976" s="138"/>
      <c r="D976" s="35"/>
      <c r="E976" s="146"/>
      <c r="F976" s="146"/>
    </row>
    <row r="977">
      <c r="A977" s="35"/>
      <c r="C977" s="138"/>
      <c r="D977" s="35"/>
      <c r="E977" s="146"/>
      <c r="F977" s="146"/>
    </row>
    <row r="978">
      <c r="A978" s="35"/>
      <c r="C978" s="138"/>
      <c r="D978" s="35"/>
      <c r="E978" s="146"/>
      <c r="F978" s="146"/>
    </row>
    <row r="979">
      <c r="A979" s="35"/>
      <c r="C979" s="138"/>
      <c r="D979" s="35"/>
      <c r="E979" s="146"/>
      <c r="F979" s="146"/>
    </row>
    <row r="980">
      <c r="A980" s="35"/>
      <c r="C980" s="138"/>
      <c r="D980" s="35"/>
      <c r="E980" s="146"/>
      <c r="F980" s="146"/>
    </row>
    <row r="981">
      <c r="A981" s="35"/>
      <c r="C981" s="138"/>
      <c r="D981" s="35"/>
      <c r="E981" s="146"/>
      <c r="F981" s="146"/>
    </row>
    <row r="982">
      <c r="A982" s="35"/>
      <c r="C982" s="138"/>
      <c r="D982" s="35"/>
      <c r="E982" s="146"/>
      <c r="F982" s="146"/>
    </row>
    <row r="983">
      <c r="A983" s="35"/>
      <c r="C983" s="138"/>
      <c r="D983" s="35"/>
      <c r="E983" s="146"/>
      <c r="F983" s="146"/>
    </row>
    <row r="984">
      <c r="A984" s="35"/>
      <c r="C984" s="138"/>
      <c r="D984" s="35"/>
      <c r="E984" s="146"/>
      <c r="F984" s="146"/>
    </row>
    <row r="985">
      <c r="A985" s="35"/>
      <c r="C985" s="138"/>
      <c r="D985" s="35"/>
      <c r="E985" s="146"/>
      <c r="F985" s="146"/>
    </row>
    <row r="986">
      <c r="A986" s="35"/>
      <c r="C986" s="138"/>
      <c r="D986" s="35"/>
      <c r="E986" s="146"/>
      <c r="F986" s="146"/>
    </row>
    <row r="987">
      <c r="A987" s="35"/>
      <c r="C987" s="138"/>
      <c r="D987" s="35"/>
      <c r="E987" s="146"/>
      <c r="F987" s="146"/>
    </row>
    <row r="988">
      <c r="A988" s="35"/>
      <c r="C988" s="138"/>
      <c r="D988" s="35"/>
      <c r="E988" s="146"/>
      <c r="F988" s="146"/>
    </row>
    <row r="989">
      <c r="A989" s="35"/>
      <c r="C989" s="138"/>
      <c r="D989" s="35"/>
      <c r="E989" s="146"/>
      <c r="F989" s="146"/>
    </row>
    <row r="990">
      <c r="A990" s="35"/>
      <c r="C990" s="138"/>
      <c r="D990" s="35"/>
      <c r="E990" s="146"/>
      <c r="F990" s="146"/>
    </row>
    <row r="991">
      <c r="A991" s="35"/>
      <c r="C991" s="138"/>
      <c r="D991" s="35"/>
      <c r="E991" s="146"/>
      <c r="F991" s="146"/>
    </row>
    <row r="992">
      <c r="A992" s="35"/>
      <c r="C992" s="138"/>
      <c r="D992" s="35"/>
      <c r="E992" s="146"/>
      <c r="F992" s="146"/>
    </row>
    <row r="993">
      <c r="A993" s="35"/>
      <c r="C993" s="138"/>
      <c r="D993" s="35"/>
      <c r="E993" s="146"/>
      <c r="F993" s="146"/>
    </row>
    <row r="994">
      <c r="A994" s="35"/>
      <c r="C994" s="138"/>
      <c r="D994" s="35"/>
      <c r="E994" s="146"/>
      <c r="F994" s="146"/>
    </row>
    <row r="995">
      <c r="A995" s="35"/>
      <c r="C995" s="138"/>
      <c r="D995" s="35"/>
      <c r="E995" s="146"/>
      <c r="F995" s="146"/>
    </row>
    <row r="996">
      <c r="A996" s="35"/>
      <c r="C996" s="138"/>
      <c r="D996" s="35"/>
      <c r="E996" s="146"/>
      <c r="F996" s="146"/>
    </row>
    <row r="997">
      <c r="A997" s="35"/>
      <c r="C997" s="138"/>
      <c r="D997" s="35"/>
      <c r="E997" s="146"/>
      <c r="F997" s="146"/>
    </row>
    <row r="998">
      <c r="A998" s="35"/>
      <c r="C998" s="138"/>
      <c r="D998" s="35"/>
      <c r="E998" s="146"/>
      <c r="F998" s="146"/>
    </row>
    <row r="999">
      <c r="A999" s="35"/>
      <c r="C999" s="138"/>
      <c r="D999" s="35"/>
      <c r="E999" s="146"/>
      <c r="F999" s="146"/>
    </row>
    <row r="1000">
      <c r="A1000" s="35"/>
      <c r="C1000" s="138"/>
      <c r="D1000" s="35"/>
      <c r="E1000" s="146"/>
      <c r="F1000" s="146"/>
    </row>
    <row r="1001">
      <c r="A1001" s="35"/>
      <c r="C1001" s="138"/>
      <c r="D1001" s="35"/>
      <c r="E1001" s="146"/>
      <c r="F1001" s="146"/>
    </row>
    <row r="1002">
      <c r="A1002" s="35"/>
      <c r="C1002" s="138"/>
      <c r="D1002" s="35"/>
      <c r="E1002" s="146"/>
      <c r="F1002" s="146"/>
    </row>
    <row r="1003">
      <c r="A1003" s="35"/>
      <c r="C1003" s="138"/>
      <c r="D1003" s="35"/>
      <c r="E1003" s="146"/>
      <c r="F1003" s="146"/>
    </row>
    <row r="1004">
      <c r="A1004" s="35"/>
      <c r="C1004" s="138"/>
      <c r="D1004" s="35"/>
      <c r="E1004" s="146"/>
      <c r="F1004" s="146"/>
    </row>
    <row r="1005">
      <c r="A1005" s="35"/>
      <c r="C1005" s="138"/>
      <c r="D1005" s="35"/>
      <c r="E1005" s="146"/>
      <c r="F1005" s="146"/>
    </row>
    <row r="1006">
      <c r="A1006" s="35"/>
      <c r="C1006" s="138"/>
      <c r="D1006" s="35"/>
      <c r="E1006" s="146"/>
      <c r="F1006" s="146"/>
    </row>
    <row r="1007">
      <c r="A1007" s="35"/>
      <c r="C1007" s="138"/>
      <c r="D1007" s="35"/>
      <c r="E1007" s="146"/>
      <c r="F1007" s="146"/>
    </row>
    <row r="1008">
      <c r="A1008" s="35"/>
      <c r="C1008" s="138"/>
      <c r="D1008" s="35"/>
      <c r="E1008" s="146"/>
      <c r="F1008" s="146"/>
    </row>
    <row r="1009">
      <c r="A1009" s="35"/>
      <c r="C1009" s="138"/>
      <c r="D1009" s="35"/>
      <c r="E1009" s="146"/>
      <c r="F1009" s="146"/>
    </row>
    <row r="1010">
      <c r="A1010" s="35"/>
      <c r="C1010" s="138"/>
      <c r="D1010" s="35"/>
      <c r="E1010" s="146"/>
      <c r="F1010" s="146"/>
    </row>
    <row r="1011">
      <c r="A1011" s="35"/>
      <c r="C1011" s="138"/>
      <c r="D1011" s="35"/>
      <c r="E1011" s="146"/>
      <c r="F1011" s="146"/>
    </row>
    <row r="1012">
      <c r="A1012" s="35"/>
      <c r="C1012" s="138"/>
      <c r="D1012" s="35"/>
      <c r="E1012" s="146"/>
      <c r="F1012" s="146"/>
    </row>
    <row r="1013">
      <c r="A1013" s="35"/>
      <c r="C1013" s="138"/>
      <c r="D1013" s="35"/>
      <c r="E1013" s="146"/>
      <c r="F1013" s="146"/>
    </row>
    <row r="1014">
      <c r="A1014" s="35"/>
      <c r="C1014" s="138"/>
      <c r="D1014" s="35"/>
      <c r="E1014" s="146"/>
      <c r="F1014" s="146"/>
    </row>
    <row r="1015">
      <c r="A1015" s="35"/>
      <c r="C1015" s="138"/>
      <c r="D1015" s="35"/>
      <c r="E1015" s="146"/>
      <c r="F1015" s="146"/>
    </row>
    <row r="1016">
      <c r="A1016" s="35"/>
      <c r="C1016" s="138"/>
      <c r="D1016" s="35"/>
      <c r="E1016" s="146"/>
      <c r="F1016" s="146"/>
    </row>
    <row r="1017">
      <c r="A1017" s="35"/>
      <c r="C1017" s="138"/>
      <c r="D1017" s="35"/>
      <c r="E1017" s="146"/>
      <c r="F1017" s="146"/>
    </row>
    <row r="1018">
      <c r="A1018" s="35"/>
      <c r="C1018" s="138"/>
      <c r="D1018" s="35"/>
      <c r="E1018" s="146"/>
      <c r="F1018" s="146"/>
    </row>
    <row r="1019">
      <c r="A1019" s="35"/>
      <c r="C1019" s="138"/>
      <c r="D1019" s="35"/>
      <c r="E1019" s="146"/>
      <c r="F1019" s="146"/>
    </row>
    <row r="1020">
      <c r="A1020" s="35"/>
      <c r="C1020" s="138"/>
      <c r="D1020" s="35"/>
      <c r="E1020" s="146"/>
      <c r="F1020" s="146"/>
    </row>
    <row r="1021">
      <c r="A1021" s="35"/>
      <c r="C1021" s="138"/>
      <c r="D1021" s="35"/>
      <c r="E1021" s="146"/>
      <c r="F1021" s="146"/>
    </row>
    <row r="1022">
      <c r="A1022" s="35"/>
      <c r="C1022" s="138"/>
      <c r="D1022" s="35"/>
      <c r="E1022" s="146"/>
      <c r="F1022" s="146"/>
    </row>
    <row r="1023">
      <c r="A1023" s="35"/>
      <c r="C1023" s="138"/>
      <c r="D1023" s="35"/>
      <c r="E1023" s="146"/>
      <c r="F1023" s="146"/>
    </row>
    <row r="1024">
      <c r="A1024" s="35"/>
      <c r="C1024" s="138"/>
      <c r="D1024" s="35"/>
      <c r="E1024" s="146"/>
      <c r="F1024" s="146"/>
    </row>
    <row r="1025">
      <c r="A1025" s="35"/>
      <c r="C1025" s="138"/>
      <c r="D1025" s="35"/>
      <c r="E1025" s="146"/>
      <c r="F1025" s="146"/>
    </row>
    <row r="1026">
      <c r="A1026" s="35"/>
      <c r="C1026" s="138"/>
      <c r="D1026" s="35"/>
      <c r="E1026" s="146"/>
      <c r="F1026" s="146"/>
    </row>
    <row r="1027">
      <c r="A1027" s="35"/>
      <c r="C1027" s="138"/>
      <c r="D1027" s="35"/>
      <c r="E1027" s="146"/>
      <c r="F1027" s="146"/>
    </row>
    <row r="1028">
      <c r="A1028" s="35"/>
      <c r="C1028" s="138"/>
      <c r="D1028" s="35"/>
      <c r="E1028" s="146"/>
      <c r="F1028" s="146"/>
    </row>
    <row r="1029">
      <c r="A1029" s="35"/>
      <c r="C1029" s="138"/>
      <c r="D1029" s="35"/>
      <c r="E1029" s="146"/>
      <c r="F1029" s="146"/>
    </row>
    <row r="1030">
      <c r="A1030" s="35"/>
      <c r="C1030" s="138"/>
      <c r="D1030" s="35"/>
      <c r="E1030" s="146"/>
      <c r="F1030" s="146"/>
    </row>
    <row r="1031">
      <c r="A1031" s="35"/>
      <c r="C1031" s="138"/>
      <c r="D1031" s="35"/>
      <c r="E1031" s="146"/>
      <c r="F1031" s="146"/>
    </row>
  </sheetData>
  <mergeCells count="3">
    <mergeCell ref="H13:J13"/>
    <mergeCell ref="M13:O13"/>
    <mergeCell ref="A102:E102"/>
  </mergeCells>
  <dataValidations>
    <dataValidation type="list" allowBlank="1" showErrorMessage="1" sqref="B2:B8">
      <formula1>"ANO,NE"</formula1>
    </dataValidation>
    <dataValidation type="list" allowBlank="1" showErrorMessage="1" sqref="J2:J8">
      <formula1>"Zaplaceno,Po splatností,Vystavená,Zadržené"</formula1>
    </dataValidation>
    <dataValidation type="list" allowBlank="1" showErrorMessage="1" sqref="D2:D8">
      <formula1>"Režim,21%,12%,Zaloha"</formula1>
    </dataValidation>
  </dataValidations>
  <hyperlinks>
    <hyperlink r:id="rId1" ref="C21"/>
    <hyperlink r:id="rId2" ref="C22"/>
    <hyperlink r:id="rId3" ref="C23"/>
    <hyperlink r:id="rId4" ref="C26"/>
    <hyperlink r:id="rId5" ref="C27"/>
    <hyperlink r:id="rId6" ref="C28"/>
    <hyperlink r:id="rId7" ref="C29"/>
    <hyperlink r:id="rId8" ref="C30"/>
    <hyperlink r:id="rId9" ref="C31"/>
    <hyperlink r:id="rId10" ref="C32"/>
    <hyperlink r:id="rId11" ref="C33"/>
    <hyperlink r:id="rId12" ref="C34"/>
    <hyperlink r:id="rId13" ref="C35"/>
    <hyperlink r:id="rId14" ref="C36"/>
    <hyperlink r:id="rId15" ref="C37"/>
    <hyperlink r:id="rId16" ref="C38"/>
    <hyperlink r:id="rId17" ref="C39"/>
    <hyperlink r:id="rId18" ref="C40"/>
    <hyperlink r:id="rId19" ref="C41"/>
    <hyperlink r:id="rId20" ref="C42"/>
    <hyperlink r:id="rId21" ref="C43"/>
    <hyperlink r:id="rId22" ref="C44"/>
    <hyperlink r:id="rId23" ref="C45"/>
    <hyperlink r:id="rId24" ref="C46"/>
    <hyperlink r:id="rId25" ref="C47"/>
    <hyperlink r:id="rId26" ref="C48"/>
    <hyperlink r:id="rId27" ref="C49"/>
    <hyperlink r:id="rId28" ref="C50"/>
    <hyperlink r:id="rId29" ref="C51"/>
    <hyperlink r:id="rId30" ref="C52"/>
    <hyperlink r:id="rId31" ref="C53"/>
    <hyperlink r:id="rId32" ref="C54"/>
    <hyperlink r:id="rId33" ref="C55"/>
    <hyperlink r:id="rId34" ref="C56"/>
    <hyperlink r:id="rId35" ref="C57"/>
    <hyperlink r:id="rId36" ref="C58"/>
    <hyperlink r:id="rId37" ref="C59"/>
    <hyperlink r:id="rId38" ref="C60"/>
    <hyperlink r:id="rId39" ref="C61"/>
    <hyperlink r:id="rId40" ref="C62"/>
    <hyperlink r:id="rId41" ref="C63"/>
    <hyperlink r:id="rId42" ref="C64"/>
    <hyperlink r:id="rId43" ref="C65"/>
    <hyperlink r:id="rId44" ref="C66"/>
    <hyperlink r:id="rId45" ref="C67"/>
    <hyperlink r:id="rId46" ref="C68"/>
    <hyperlink r:id="rId47" ref="C69"/>
    <hyperlink r:id="rId48" ref="C70"/>
    <hyperlink r:id="rId49" ref="C71"/>
    <hyperlink r:id="rId50" ref="C72"/>
    <hyperlink r:id="rId51" ref="C73"/>
    <hyperlink r:id="rId52" ref="C74"/>
    <hyperlink r:id="rId53" ref="C75"/>
    <hyperlink r:id="rId54" ref="C76"/>
    <hyperlink r:id="rId55" ref="C77"/>
    <hyperlink r:id="rId56" ref="C78"/>
    <hyperlink r:id="rId57" ref="C79"/>
    <hyperlink r:id="rId58" ref="C80"/>
    <hyperlink r:id="rId59" ref="C81"/>
    <hyperlink r:id="rId60" ref="C82"/>
  </hyperlinks>
  <drawing r:id="rId6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8.5"/>
    <col customWidth="1" min="3" max="3" width="22.63"/>
    <col customWidth="1" min="4" max="4" width="21.13"/>
    <col customWidth="1" min="5" max="5" width="20.25"/>
    <col customWidth="1" min="6" max="6" width="18.63"/>
    <col customWidth="1" min="7" max="7" width="16.13"/>
    <col customWidth="1" min="8" max="8" width="17.0"/>
    <col customWidth="1" min="9" max="9" width="16.0"/>
    <col customWidth="1" min="10" max="10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65" t="s">
        <v>460</v>
      </c>
      <c r="B2" s="166" t="s">
        <v>11</v>
      </c>
      <c r="C2" s="167">
        <v>1702517.62</v>
      </c>
      <c r="D2" s="168" t="s">
        <v>12</v>
      </c>
      <c r="E2" s="169">
        <f t="shared" ref="E2:E8" si="1">ifs(D2=21%,(C2/100*21),D2=12%,(C2/100*12),D2="Režim",0,D2="Zaloha",0)+C2</f>
        <v>1702517.62</v>
      </c>
      <c r="F2" s="167">
        <f>C2-(SUM(C3:C8))</f>
        <v>1002517.62</v>
      </c>
      <c r="G2" s="166"/>
      <c r="H2" s="170"/>
      <c r="I2" s="170"/>
      <c r="J2" s="168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71" t="s">
        <v>461</v>
      </c>
      <c r="B3" s="171" t="s">
        <v>11</v>
      </c>
      <c r="C3" s="169">
        <v>700000.0</v>
      </c>
      <c r="D3" s="172" t="s">
        <v>12</v>
      </c>
      <c r="E3" s="169">
        <f t="shared" si="1"/>
        <v>700000</v>
      </c>
      <c r="F3" s="169"/>
      <c r="G3" s="173">
        <v>46007.0</v>
      </c>
      <c r="H3" s="173">
        <v>46021.0</v>
      </c>
      <c r="I3" s="173">
        <v>46021.0</v>
      </c>
      <c r="J3" s="174" t="s">
        <v>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71"/>
      <c r="B4" s="171"/>
      <c r="C4" s="169"/>
      <c r="D4" s="175"/>
      <c r="E4" s="169" t="str">
        <f t="shared" si="1"/>
        <v>#N/A</v>
      </c>
      <c r="F4" s="169"/>
      <c r="G4" s="176"/>
      <c r="H4" s="107"/>
      <c r="I4" s="107"/>
      <c r="J4" s="17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71"/>
      <c r="B5" s="171"/>
      <c r="C5" s="169"/>
      <c r="D5" s="175"/>
      <c r="E5" s="169" t="str">
        <f t="shared" si="1"/>
        <v>#N/A</v>
      </c>
      <c r="F5" s="169"/>
      <c r="G5" s="176"/>
      <c r="H5" s="107"/>
      <c r="I5" s="107"/>
      <c r="J5" s="174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71"/>
      <c r="B6" s="171"/>
      <c r="C6" s="169"/>
      <c r="D6" s="175"/>
      <c r="E6" s="169" t="str">
        <f t="shared" si="1"/>
        <v>#N/A</v>
      </c>
      <c r="F6" s="169"/>
      <c r="G6" s="176"/>
      <c r="H6" s="107"/>
      <c r="I6" s="107"/>
      <c r="J6" s="174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71"/>
      <c r="B7" s="171"/>
      <c r="C7" s="169"/>
      <c r="D7" s="175"/>
      <c r="E7" s="169" t="str">
        <f t="shared" si="1"/>
        <v>#N/A</v>
      </c>
      <c r="F7" s="169"/>
      <c r="G7" s="176"/>
      <c r="H7" s="107"/>
      <c r="I7" s="107"/>
      <c r="J7" s="174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71"/>
      <c r="B8" s="171"/>
      <c r="C8" s="169"/>
      <c r="D8" s="175"/>
      <c r="E8" s="169" t="str">
        <f t="shared" si="1"/>
        <v>#N/A</v>
      </c>
      <c r="F8" s="169"/>
      <c r="G8" s="176"/>
      <c r="H8" s="107"/>
      <c r="I8" s="107"/>
      <c r="J8" s="174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9"/>
      <c r="B9" s="19"/>
      <c r="C9" s="19"/>
      <c r="D9" s="19"/>
      <c r="E9" s="19"/>
      <c r="F9" s="19"/>
      <c r="G9" s="1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9"/>
      <c r="B10" s="19"/>
      <c r="C10" s="19"/>
      <c r="D10" s="19"/>
      <c r="E10" s="19"/>
      <c r="F10" s="19"/>
      <c r="G10" s="1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0" t="s">
        <v>14</v>
      </c>
      <c r="B11" s="20" t="s">
        <v>15</v>
      </c>
      <c r="C11" s="20" t="s">
        <v>16</v>
      </c>
      <c r="D11" s="20" t="s">
        <v>17</v>
      </c>
      <c r="E11" s="20" t="s">
        <v>18</v>
      </c>
      <c r="F11" s="20" t="s">
        <v>28</v>
      </c>
      <c r="G11" s="20" t="s">
        <v>17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1" t="s">
        <v>363</v>
      </c>
      <c r="B12" s="21">
        <v>850368.0</v>
      </c>
      <c r="C12" s="22">
        <f>F52</f>
        <v>0</v>
      </c>
      <c r="D12" s="22">
        <f>B12-C12</f>
        <v>850368</v>
      </c>
      <c r="E12" s="23">
        <v>318200.0</v>
      </c>
      <c r="F12" s="23">
        <v>0.0</v>
      </c>
      <c r="G12" s="24">
        <f>E12-F12</f>
        <v>318200</v>
      </c>
    </row>
    <row r="15">
      <c r="A15" s="26" t="s">
        <v>21</v>
      </c>
      <c r="B15" s="26" t="s">
        <v>22</v>
      </c>
      <c r="C15" s="26" t="s">
        <v>23</v>
      </c>
      <c r="D15" s="26" t="s">
        <v>24</v>
      </c>
      <c r="E15" s="26" t="s">
        <v>25</v>
      </c>
      <c r="F15" s="26" t="s">
        <v>26</v>
      </c>
    </row>
    <row r="16">
      <c r="A16" s="27"/>
      <c r="B16" s="23"/>
      <c r="C16" s="23"/>
      <c r="D16" s="23"/>
      <c r="E16" s="23"/>
      <c r="F16" s="24">
        <f t="shared" ref="F16:F51" si="2">E16*D16</f>
        <v>0</v>
      </c>
    </row>
    <row r="17">
      <c r="A17" s="24"/>
      <c r="B17" s="24"/>
      <c r="C17" s="23"/>
      <c r="D17" s="23"/>
      <c r="E17" s="23"/>
      <c r="F17" s="24">
        <f t="shared" si="2"/>
        <v>0</v>
      </c>
    </row>
    <row r="18">
      <c r="A18" s="27"/>
      <c r="B18" s="23"/>
      <c r="C18" s="23"/>
      <c r="D18" s="23"/>
      <c r="E18" s="28"/>
      <c r="F18" s="24">
        <f t="shared" si="2"/>
        <v>0</v>
      </c>
    </row>
    <row r="19">
      <c r="A19" s="29"/>
      <c r="B19" s="24"/>
      <c r="C19" s="29"/>
      <c r="D19" s="29"/>
      <c r="E19" s="29"/>
      <c r="F19" s="24">
        <f t="shared" si="2"/>
        <v>0</v>
      </c>
    </row>
    <row r="20">
      <c r="A20" s="29"/>
      <c r="B20" s="24"/>
      <c r="C20" s="29"/>
      <c r="D20" s="29"/>
      <c r="E20" s="29"/>
      <c r="F20" s="24">
        <f t="shared" si="2"/>
        <v>0</v>
      </c>
    </row>
    <row r="21">
      <c r="A21" s="29"/>
      <c r="B21" s="24"/>
      <c r="C21" s="29"/>
      <c r="D21" s="29"/>
      <c r="E21" s="29"/>
      <c r="F21" s="24">
        <f t="shared" si="2"/>
        <v>0</v>
      </c>
    </row>
    <row r="22">
      <c r="A22" s="29"/>
      <c r="B22" s="24"/>
      <c r="C22" s="29"/>
      <c r="D22" s="29"/>
      <c r="E22" s="29"/>
      <c r="F22" s="24">
        <f t="shared" si="2"/>
        <v>0</v>
      </c>
    </row>
    <row r="23">
      <c r="A23" s="29"/>
      <c r="B23" s="24"/>
      <c r="C23" s="29"/>
      <c r="D23" s="29"/>
      <c r="E23" s="29"/>
      <c r="F23" s="24">
        <f t="shared" si="2"/>
        <v>0</v>
      </c>
    </row>
    <row r="24">
      <c r="A24" s="29"/>
      <c r="B24" s="24"/>
      <c r="C24" s="29"/>
      <c r="D24" s="29"/>
      <c r="E24" s="29"/>
      <c r="F24" s="24">
        <f t="shared" si="2"/>
        <v>0</v>
      </c>
    </row>
    <row r="25">
      <c r="A25" s="29"/>
      <c r="B25" s="24"/>
      <c r="C25" s="29"/>
      <c r="D25" s="29"/>
      <c r="E25" s="29"/>
      <c r="F25" s="24">
        <f t="shared" si="2"/>
        <v>0</v>
      </c>
    </row>
    <row r="26">
      <c r="A26" s="29"/>
      <c r="B26" s="24"/>
      <c r="C26" s="29"/>
      <c r="D26" s="29"/>
      <c r="E26" s="29"/>
      <c r="F26" s="24">
        <f t="shared" si="2"/>
        <v>0</v>
      </c>
    </row>
    <row r="27">
      <c r="A27" s="29"/>
      <c r="B27" s="24"/>
      <c r="C27" s="29"/>
      <c r="D27" s="29"/>
      <c r="E27" s="29"/>
      <c r="F27" s="24">
        <f t="shared" si="2"/>
        <v>0</v>
      </c>
    </row>
    <row r="28">
      <c r="A28" s="29"/>
      <c r="B28" s="24"/>
      <c r="C28" s="29"/>
      <c r="D28" s="29"/>
      <c r="E28" s="29"/>
      <c r="F28" s="24">
        <f t="shared" si="2"/>
        <v>0</v>
      </c>
    </row>
    <row r="29">
      <c r="A29" s="29"/>
      <c r="B29" s="24"/>
      <c r="C29" s="29"/>
      <c r="D29" s="29"/>
      <c r="E29" s="29"/>
      <c r="F29" s="24">
        <f t="shared" si="2"/>
        <v>0</v>
      </c>
    </row>
    <row r="30">
      <c r="A30" s="29"/>
      <c r="B30" s="24"/>
      <c r="C30" s="29"/>
      <c r="D30" s="29"/>
      <c r="E30" s="29"/>
      <c r="F30" s="24">
        <f t="shared" si="2"/>
        <v>0</v>
      </c>
    </row>
    <row r="31">
      <c r="A31" s="29"/>
      <c r="B31" s="24"/>
      <c r="C31" s="29"/>
      <c r="D31" s="29"/>
      <c r="E31" s="29"/>
      <c r="F31" s="24">
        <f t="shared" si="2"/>
        <v>0</v>
      </c>
    </row>
    <row r="32">
      <c r="A32" s="29"/>
      <c r="B32" s="24"/>
      <c r="C32" s="29"/>
      <c r="D32" s="29"/>
      <c r="E32" s="29"/>
      <c r="F32" s="24">
        <f t="shared" si="2"/>
        <v>0</v>
      </c>
    </row>
    <row r="33">
      <c r="A33" s="29"/>
      <c r="B33" s="24"/>
      <c r="C33" s="29"/>
      <c r="D33" s="29"/>
      <c r="E33" s="29"/>
      <c r="F33" s="24">
        <f t="shared" si="2"/>
        <v>0</v>
      </c>
    </row>
    <row r="34">
      <c r="A34" s="29"/>
      <c r="B34" s="24"/>
      <c r="C34" s="29"/>
      <c r="D34" s="29"/>
      <c r="E34" s="29"/>
      <c r="F34" s="24">
        <f t="shared" si="2"/>
        <v>0</v>
      </c>
    </row>
    <row r="35">
      <c r="A35" s="29"/>
      <c r="B35" s="24"/>
      <c r="C35" s="29"/>
      <c r="D35" s="29"/>
      <c r="E35" s="29"/>
      <c r="F35" s="24">
        <f t="shared" si="2"/>
        <v>0</v>
      </c>
    </row>
    <row r="36">
      <c r="A36" s="29"/>
      <c r="B36" s="24"/>
      <c r="C36" s="29"/>
      <c r="D36" s="29"/>
      <c r="E36" s="29"/>
      <c r="F36" s="24">
        <f t="shared" si="2"/>
        <v>0</v>
      </c>
    </row>
    <row r="37">
      <c r="A37" s="29"/>
      <c r="B37" s="24"/>
      <c r="C37" s="29"/>
      <c r="D37" s="29"/>
      <c r="E37" s="29"/>
      <c r="F37" s="24">
        <f t="shared" si="2"/>
        <v>0</v>
      </c>
    </row>
    <row r="38">
      <c r="A38" s="29"/>
      <c r="B38" s="24"/>
      <c r="C38" s="29"/>
      <c r="D38" s="29"/>
      <c r="E38" s="29"/>
      <c r="F38" s="24">
        <f t="shared" si="2"/>
        <v>0</v>
      </c>
    </row>
    <row r="39">
      <c r="A39" s="29"/>
      <c r="B39" s="24"/>
      <c r="C39" s="29"/>
      <c r="D39" s="29"/>
      <c r="E39" s="29"/>
      <c r="F39" s="24">
        <f t="shared" si="2"/>
        <v>0</v>
      </c>
    </row>
    <row r="40">
      <c r="A40" s="29"/>
      <c r="B40" s="24"/>
      <c r="C40" s="29"/>
      <c r="D40" s="29"/>
      <c r="E40" s="29"/>
      <c r="F40" s="24">
        <f t="shared" si="2"/>
        <v>0</v>
      </c>
    </row>
    <row r="41">
      <c r="A41" s="29"/>
      <c r="B41" s="24"/>
      <c r="C41" s="29"/>
      <c r="D41" s="29"/>
      <c r="E41" s="29"/>
      <c r="F41" s="24">
        <f t="shared" si="2"/>
        <v>0</v>
      </c>
    </row>
    <row r="42">
      <c r="A42" s="29"/>
      <c r="B42" s="24"/>
      <c r="C42" s="29"/>
      <c r="D42" s="29"/>
      <c r="E42" s="29"/>
      <c r="F42" s="24">
        <f t="shared" si="2"/>
        <v>0</v>
      </c>
    </row>
    <row r="43">
      <c r="A43" s="29"/>
      <c r="B43" s="24"/>
      <c r="C43" s="29"/>
      <c r="D43" s="29"/>
      <c r="E43" s="29"/>
      <c r="F43" s="24">
        <f t="shared" si="2"/>
        <v>0</v>
      </c>
    </row>
    <row r="44">
      <c r="A44" s="29"/>
      <c r="B44" s="24"/>
      <c r="C44" s="29"/>
      <c r="D44" s="29"/>
      <c r="E44" s="29"/>
      <c r="F44" s="24">
        <f t="shared" si="2"/>
        <v>0</v>
      </c>
    </row>
    <row r="45">
      <c r="A45" s="29"/>
      <c r="B45" s="24"/>
      <c r="C45" s="29"/>
      <c r="D45" s="29"/>
      <c r="E45" s="29"/>
      <c r="F45" s="24">
        <f t="shared" si="2"/>
        <v>0</v>
      </c>
    </row>
    <row r="46">
      <c r="A46" s="29"/>
      <c r="B46" s="24"/>
      <c r="C46" s="29"/>
      <c r="D46" s="29"/>
      <c r="E46" s="29"/>
      <c r="F46" s="24">
        <f t="shared" si="2"/>
        <v>0</v>
      </c>
    </row>
    <row r="47">
      <c r="A47" s="29"/>
      <c r="B47" s="24"/>
      <c r="C47" s="29"/>
      <c r="D47" s="29"/>
      <c r="E47" s="29"/>
      <c r="F47" s="24">
        <f t="shared" si="2"/>
        <v>0</v>
      </c>
    </row>
    <row r="48">
      <c r="A48" s="29"/>
      <c r="B48" s="24"/>
      <c r="C48" s="29"/>
      <c r="D48" s="29"/>
      <c r="E48" s="29"/>
      <c r="F48" s="24">
        <f t="shared" si="2"/>
        <v>0</v>
      </c>
    </row>
    <row r="49">
      <c r="A49" s="29"/>
      <c r="B49" s="24"/>
      <c r="C49" s="29"/>
      <c r="D49" s="29"/>
      <c r="E49" s="29"/>
      <c r="F49" s="24">
        <f t="shared" si="2"/>
        <v>0</v>
      </c>
    </row>
    <row r="50">
      <c r="A50" s="29"/>
      <c r="B50" s="24"/>
      <c r="C50" s="29"/>
      <c r="D50" s="29"/>
      <c r="E50" s="29"/>
      <c r="F50" s="24">
        <f t="shared" si="2"/>
        <v>0</v>
      </c>
    </row>
    <row r="51">
      <c r="A51" s="29"/>
      <c r="B51" s="24"/>
      <c r="C51" s="29"/>
      <c r="D51" s="29"/>
      <c r="E51" s="29"/>
      <c r="F51" s="24">
        <f t="shared" si="2"/>
        <v>0</v>
      </c>
    </row>
    <row r="52">
      <c r="A52" s="30" t="s">
        <v>27</v>
      </c>
      <c r="B52" s="31"/>
      <c r="C52" s="31"/>
      <c r="D52" s="31"/>
      <c r="E52" s="32"/>
      <c r="F52" s="33">
        <f>SUM(F16:F51)</f>
        <v>0</v>
      </c>
    </row>
  </sheetData>
  <mergeCells count="1">
    <mergeCell ref="A52:E52"/>
  </mergeCells>
  <dataValidations>
    <dataValidation type="list" allowBlank="1" showErrorMessage="1" sqref="B2:B8">
      <formula1>"ANO,NE"</formula1>
    </dataValidation>
    <dataValidation type="list" allowBlank="1" showErrorMessage="1" sqref="J2:J8">
      <formula1>"Zaplaceno,Po splatností,Vystavená,Zadržené"</formula1>
    </dataValidation>
    <dataValidation type="list" allowBlank="1" showErrorMessage="1" sqref="D2:D8">
      <formula1>"Režim,21%,12%,Zaloha"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4" t="s">
        <v>462</v>
      </c>
      <c r="B1" s="74" t="s">
        <v>463</v>
      </c>
      <c r="C1" s="74" t="s">
        <v>464</v>
      </c>
      <c r="D1" s="74" t="s">
        <v>465</v>
      </c>
      <c r="E1" s="74" t="s">
        <v>466</v>
      </c>
      <c r="F1" s="74" t="s">
        <v>467</v>
      </c>
      <c r="G1" s="74" t="s">
        <v>468</v>
      </c>
      <c r="H1" s="74" t="s">
        <v>469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9.13"/>
  </cols>
  <sheetData>
    <row r="1">
      <c r="A1" s="74" t="s">
        <v>462</v>
      </c>
      <c r="B1" s="74" t="s">
        <v>21</v>
      </c>
      <c r="C1" s="74" t="s">
        <v>470</v>
      </c>
      <c r="D1" s="74" t="s">
        <v>471</v>
      </c>
      <c r="E1" s="74" t="s">
        <v>472</v>
      </c>
      <c r="F1" s="74" t="s">
        <v>467</v>
      </c>
      <c r="G1" s="74" t="s">
        <v>473</v>
      </c>
      <c r="H1" s="74" t="s">
        <v>474</v>
      </c>
      <c r="I1" s="74" t="s">
        <v>475</v>
      </c>
    </row>
    <row r="2">
      <c r="A2" s="74">
        <v>6.0</v>
      </c>
      <c r="B2" s="74" t="s">
        <v>476</v>
      </c>
      <c r="C2" s="74" t="s">
        <v>477</v>
      </c>
      <c r="D2" s="74" t="s">
        <v>478</v>
      </c>
      <c r="E2" s="74" t="s">
        <v>479</v>
      </c>
      <c r="F2" s="74" t="s">
        <v>480</v>
      </c>
      <c r="G2" s="74" t="s">
        <v>481</v>
      </c>
      <c r="H2" s="74" t="s">
        <v>482</v>
      </c>
      <c r="I2" s="74" t="s">
        <v>483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4" t="s">
        <v>462</v>
      </c>
      <c r="B1" s="74" t="s">
        <v>21</v>
      </c>
      <c r="C1" s="74" t="s">
        <v>470</v>
      </c>
      <c r="D1" s="74" t="s">
        <v>484</v>
      </c>
      <c r="E1" s="74" t="s">
        <v>485</v>
      </c>
      <c r="F1" s="74" t="s">
        <v>486</v>
      </c>
    </row>
    <row r="2">
      <c r="A2" s="74">
        <v>1.0</v>
      </c>
      <c r="B2" s="74" t="s">
        <v>487</v>
      </c>
      <c r="C2" s="74" t="s">
        <v>477</v>
      </c>
      <c r="D2" s="74" t="s">
        <v>488</v>
      </c>
      <c r="E2" s="74" t="s">
        <v>489</v>
      </c>
      <c r="F2" s="74">
        <v>8.5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4" t="s">
        <v>470</v>
      </c>
      <c r="B1" s="74" t="s">
        <v>466</v>
      </c>
      <c r="C1" s="74" t="s">
        <v>490</v>
      </c>
      <c r="D1" s="74" t="s">
        <v>491</v>
      </c>
      <c r="E1" s="74" t="s">
        <v>492</v>
      </c>
      <c r="F1" s="74" t="s">
        <v>493</v>
      </c>
      <c r="G1" s="74" t="s">
        <v>494</v>
      </c>
    </row>
    <row r="2">
      <c r="A2" s="74" t="s">
        <v>477</v>
      </c>
      <c r="B2" s="177">
        <v>0.0</v>
      </c>
      <c r="C2" s="177">
        <v>81678.78</v>
      </c>
      <c r="D2" s="177">
        <v>-81678.78</v>
      </c>
      <c r="E2" s="177">
        <v>0.0</v>
      </c>
      <c r="F2" s="177">
        <v>0.0</v>
      </c>
      <c r="G2" s="177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4" t="s">
        <v>462</v>
      </c>
      <c r="B1" s="74" t="s">
        <v>495</v>
      </c>
      <c r="C1" s="74" t="s">
        <v>485</v>
      </c>
      <c r="D1" s="74" t="s">
        <v>496</v>
      </c>
    </row>
  </sheetData>
  <drawing r:id="rId1"/>
</worksheet>
</file>